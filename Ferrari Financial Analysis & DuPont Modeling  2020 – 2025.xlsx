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New folder\ferrari\"/>
    </mc:Choice>
  </mc:AlternateContent>
  <xr:revisionPtr revIDLastSave="0" documentId="13_ncr:1_{FE81DDA6-1BE1-4EA9-9099-08F06DE2CE79}" xr6:coauthVersionLast="47" xr6:coauthVersionMax="47" xr10:uidLastSave="{00000000-0000-0000-0000-000000000000}"/>
  <workbookProtection workbookAlgorithmName="SHA-512" workbookHashValue="xdQQElPMSmU6ZaD6DWYfckf3ZscNmabSt+WBFoZtm8PQ1hR1OEGodkjA2+ZGq5PYwShCQ22TFopk6NYhXhS6xg==" workbookSaltValue="cKh4TliyObikK62n9i7YPw==" workbookSpinCount="100000" lockStructure="1"/>
  <bookViews>
    <workbookView xWindow="-120" yWindow="-120" windowWidth="29040" windowHeight="15840" tabRatio="799" activeTab="4" xr2:uid="{2317BFDB-C37E-4E29-A643-1DF1C51490CA}"/>
  </bookViews>
  <sheets>
    <sheet name="cover" sheetId="7" r:id="rId1"/>
    <sheet name="Financial Statements" sheetId="1" r:id="rId2"/>
    <sheet name="Ratio Calculations" sheetId="3" r:id="rId3"/>
    <sheet name="3 Step DuPont Pyramid " sheetId="5" r:id="rId4"/>
    <sheet name="5 Step DuPont " sheetId="6" r:id="rId5"/>
    <sheet name="Profitability" sheetId="10" r:id="rId6"/>
    <sheet name="Utilization" sheetId="11" r:id="rId7"/>
    <sheet name="Leverage" sheetId="13" r:id="rId8"/>
    <sheet name="Growth" sheetId="8" r:id="rId9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2">'Ratio Calculations'!$B$3:$R$65,'Ratio Calculations'!$B$68:$R$103,'Ratio Calculations'!$B$106:$R$124,'Ratio Calculations'!$B$127:$R$139,'Ratio Calculations'!$B$142:$R$169,'Ratio Calculations'!$B$172:$R$187,'Ratio Calculations'!$B$190:$R$211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01_1da04ade-2f33-4a1f-96b5-552c6044a94f" name="Page001" connection="Query - Page001"/>
          <x15:modelTable id="Page002_f0548011-ee2a-4fee-b3f6-45122b65ee14" name="Page002" connection="Query - Page002"/>
          <x15:modelTable id="Page003_3299149a-d7e3-4646-a6b8-101bb13175e9" name="Page003" connection="Query - Page003"/>
          <x15:modelTable id="Page004_c6585c43-d701-43c8-a189-87b3b5b126c7" name="Page004" connection="Query - Page004"/>
          <x15:modelTable id="Page005_fcacdc60-19ef-4249-89d5-31d22ade7217" name="Page005" connection="Query - Page0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3" l="1"/>
  <c r="F44" i="13"/>
  <c r="G44" i="13"/>
  <c r="H44" i="13"/>
  <c r="I44" i="13"/>
  <c r="D44" i="13"/>
  <c r="J44" i="13" s="1"/>
  <c r="E41" i="13"/>
  <c r="F41" i="13"/>
  <c r="G41" i="13"/>
  <c r="H41" i="13"/>
  <c r="I41" i="13"/>
  <c r="D41" i="13"/>
  <c r="E11" i="13"/>
  <c r="F11" i="13"/>
  <c r="G11" i="13"/>
  <c r="H11" i="13"/>
  <c r="I11" i="13"/>
  <c r="D11" i="13"/>
  <c r="E8" i="13"/>
  <c r="F8" i="13"/>
  <c r="G8" i="13"/>
  <c r="H8" i="13"/>
  <c r="I8" i="13"/>
  <c r="D8" i="13"/>
  <c r="D21" i="11"/>
  <c r="J23" i="11"/>
  <c r="F24" i="11" s="1"/>
  <c r="E23" i="11"/>
  <c r="F23" i="11"/>
  <c r="G23" i="11"/>
  <c r="H23" i="11"/>
  <c r="I23" i="11"/>
  <c r="D23" i="11"/>
  <c r="D20" i="11"/>
  <c r="J17" i="11"/>
  <c r="D18" i="11" s="1"/>
  <c r="E17" i="11"/>
  <c r="F17" i="11"/>
  <c r="G17" i="11"/>
  <c r="H17" i="11"/>
  <c r="I17" i="11"/>
  <c r="D17" i="11"/>
  <c r="J14" i="11"/>
  <c r="J11" i="11"/>
  <c r="D12" i="11" s="1"/>
  <c r="E14" i="11"/>
  <c r="F14" i="11"/>
  <c r="G14" i="11"/>
  <c r="H14" i="11"/>
  <c r="I14" i="11"/>
  <c r="D14" i="11"/>
  <c r="E11" i="11"/>
  <c r="F11" i="11"/>
  <c r="G11" i="11"/>
  <c r="H11" i="11"/>
  <c r="I11" i="11"/>
  <c r="D11" i="11"/>
  <c r="J8" i="11"/>
  <c r="E8" i="11"/>
  <c r="F8" i="11"/>
  <c r="G8" i="11"/>
  <c r="H8" i="11"/>
  <c r="I8" i="11"/>
  <c r="D8" i="11"/>
  <c r="D21" i="10"/>
  <c r="J20" i="10"/>
  <c r="E20" i="10"/>
  <c r="F20" i="10"/>
  <c r="G20" i="10"/>
  <c r="H20" i="10"/>
  <c r="I20" i="10"/>
  <c r="D20" i="10"/>
  <c r="D18" i="10"/>
  <c r="E17" i="10"/>
  <c r="F17" i="10"/>
  <c r="G17" i="10"/>
  <c r="H17" i="10"/>
  <c r="I17" i="10"/>
  <c r="D17" i="10"/>
  <c r="J11" i="10"/>
  <c r="J14" i="10"/>
  <c r="D15" i="10" s="1"/>
  <c r="E14" i="10"/>
  <c r="F14" i="10"/>
  <c r="G14" i="10"/>
  <c r="H14" i="10"/>
  <c r="I14" i="10"/>
  <c r="D14" i="10"/>
  <c r="D12" i="10"/>
  <c r="E11" i="10"/>
  <c r="F11" i="10"/>
  <c r="G11" i="10"/>
  <c r="H11" i="10"/>
  <c r="I11" i="10"/>
  <c r="D11" i="10"/>
  <c r="E8" i="10"/>
  <c r="F8" i="10"/>
  <c r="G8" i="10"/>
  <c r="H8" i="10"/>
  <c r="I8" i="10"/>
  <c r="D8" i="10"/>
  <c r="F20" i="11"/>
  <c r="G20" i="11"/>
  <c r="H20" i="11"/>
  <c r="I20" i="11"/>
  <c r="E20" i="11"/>
  <c r="G21" i="10"/>
  <c r="H21" i="10"/>
  <c r="F17" i="8"/>
  <c r="J17" i="8" s="1"/>
  <c r="F18" i="8" s="1"/>
  <c r="G17" i="8"/>
  <c r="H17" i="8"/>
  <c r="I17" i="8"/>
  <c r="E17" i="8"/>
  <c r="F14" i="8"/>
  <c r="G14" i="8"/>
  <c r="H14" i="8"/>
  <c r="I14" i="8"/>
  <c r="E14" i="8"/>
  <c r="F11" i="8"/>
  <c r="G11" i="8"/>
  <c r="H11" i="8"/>
  <c r="I11" i="8"/>
  <c r="E11" i="8"/>
  <c r="J11" i="8" s="1"/>
  <c r="F8" i="8"/>
  <c r="G8" i="8"/>
  <c r="H8" i="8"/>
  <c r="I8" i="8"/>
  <c r="E8" i="8"/>
  <c r="D10" i="6"/>
  <c r="E10" i="6"/>
  <c r="F10" i="6"/>
  <c r="G10" i="6"/>
  <c r="H10" i="6"/>
  <c r="C10" i="6"/>
  <c r="C8" i="6"/>
  <c r="F64" i="3"/>
  <c r="K10" i="6"/>
  <c r="L10" i="6"/>
  <c r="M10" i="6"/>
  <c r="N10" i="6"/>
  <c r="O10" i="6"/>
  <c r="J10" i="6"/>
  <c r="J8" i="6"/>
  <c r="N19" i="6"/>
  <c r="O19" i="6"/>
  <c r="P19" i="6"/>
  <c r="Q19" i="6"/>
  <c r="R19" i="6"/>
  <c r="M19" i="6"/>
  <c r="M17" i="6"/>
  <c r="N15" i="6"/>
  <c r="O15" i="6"/>
  <c r="P15" i="6"/>
  <c r="Q15" i="6"/>
  <c r="R15" i="6"/>
  <c r="M15" i="6"/>
  <c r="M13" i="6"/>
  <c r="V23" i="6"/>
  <c r="W23" i="6"/>
  <c r="X23" i="6"/>
  <c r="Y23" i="6"/>
  <c r="Z23" i="6"/>
  <c r="U23" i="6"/>
  <c r="U21" i="6"/>
  <c r="V19" i="6"/>
  <c r="W19" i="6"/>
  <c r="X19" i="6"/>
  <c r="Y19" i="6"/>
  <c r="Z19" i="6"/>
  <c r="U19" i="6"/>
  <c r="U17" i="6"/>
  <c r="V15" i="6"/>
  <c r="W15" i="6"/>
  <c r="X15" i="6"/>
  <c r="Y15" i="6"/>
  <c r="Z15" i="6"/>
  <c r="U15" i="6"/>
  <c r="U13" i="6"/>
  <c r="R10" i="6"/>
  <c r="S10" i="6"/>
  <c r="T10" i="6"/>
  <c r="U10" i="6"/>
  <c r="V10" i="6"/>
  <c r="Q10" i="6"/>
  <c r="Q8" i="6"/>
  <c r="R50" i="6"/>
  <c r="Q50" i="6"/>
  <c r="P50" i="6"/>
  <c r="O50" i="6"/>
  <c r="N50" i="6"/>
  <c r="N48" i="6"/>
  <c r="R46" i="6"/>
  <c r="Q46" i="6"/>
  <c r="P46" i="6"/>
  <c r="O46" i="6"/>
  <c r="N46" i="6"/>
  <c r="N44" i="6"/>
  <c r="R42" i="6"/>
  <c r="Q42" i="6"/>
  <c r="P42" i="6"/>
  <c r="O42" i="6"/>
  <c r="N42" i="6"/>
  <c r="N40" i="6"/>
  <c r="R38" i="6"/>
  <c r="Q38" i="6"/>
  <c r="P38" i="6"/>
  <c r="O38" i="6"/>
  <c r="N38" i="6"/>
  <c r="N36" i="6"/>
  <c r="R34" i="6"/>
  <c r="Q34" i="6"/>
  <c r="P34" i="6"/>
  <c r="O34" i="6"/>
  <c r="N34" i="6"/>
  <c r="N32" i="6"/>
  <c r="AO10" i="6"/>
  <c r="AP10" i="6"/>
  <c r="AQ10" i="6"/>
  <c r="AR10" i="6"/>
  <c r="AS10" i="6"/>
  <c r="AN10" i="6"/>
  <c r="AO18" i="6"/>
  <c r="AO14" i="6"/>
  <c r="AS26" i="6"/>
  <c r="AR26" i="6"/>
  <c r="AQ26" i="6"/>
  <c r="AP26" i="6"/>
  <c r="AO26" i="6"/>
  <c r="AN26" i="6"/>
  <c r="AN24" i="6"/>
  <c r="AS22" i="6"/>
  <c r="AR22" i="6"/>
  <c r="AQ22" i="6"/>
  <c r="AP22" i="6"/>
  <c r="AO22" i="6"/>
  <c r="AN22" i="6"/>
  <c r="AN20" i="6"/>
  <c r="AS18" i="6"/>
  <c r="AR18" i="6"/>
  <c r="AQ18" i="6"/>
  <c r="AP18" i="6"/>
  <c r="AN18" i="6"/>
  <c r="AN16" i="6"/>
  <c r="AS14" i="6"/>
  <c r="AR14" i="6"/>
  <c r="AQ14" i="6"/>
  <c r="AP14" i="6"/>
  <c r="AN14" i="6"/>
  <c r="AN12" i="6"/>
  <c r="AN8" i="6"/>
  <c r="AS49" i="6"/>
  <c r="AR49" i="6"/>
  <c r="AQ49" i="6"/>
  <c r="AP49" i="6"/>
  <c r="AO49" i="6"/>
  <c r="AN49" i="6"/>
  <c r="AN47" i="6"/>
  <c r="AS45" i="6"/>
  <c r="AR45" i="6"/>
  <c r="AQ45" i="6"/>
  <c r="AP45" i="6"/>
  <c r="AO45" i="6"/>
  <c r="AN45" i="6"/>
  <c r="AN43" i="6"/>
  <c r="AS41" i="6"/>
  <c r="AR41" i="6"/>
  <c r="AQ41" i="6"/>
  <c r="AP41" i="6"/>
  <c r="AO41" i="6"/>
  <c r="AN41" i="6"/>
  <c r="AN39" i="6"/>
  <c r="AS37" i="6"/>
  <c r="AR37" i="6"/>
  <c r="AQ37" i="6"/>
  <c r="AP37" i="6"/>
  <c r="AO37" i="6"/>
  <c r="AN37" i="6"/>
  <c r="AN35" i="6"/>
  <c r="AS33" i="6"/>
  <c r="AR33" i="6"/>
  <c r="AQ33" i="6"/>
  <c r="AP33" i="6"/>
  <c r="AO33" i="6"/>
  <c r="AN33" i="6"/>
  <c r="AN31" i="6"/>
  <c r="AJ26" i="6"/>
  <c r="AI26" i="6"/>
  <c r="AH26" i="6"/>
  <c r="AG26" i="6"/>
  <c r="AF26" i="6"/>
  <c r="AE26" i="6"/>
  <c r="AE24" i="6"/>
  <c r="AJ22" i="6"/>
  <c r="AI22" i="6"/>
  <c r="AH22" i="6"/>
  <c r="AG22" i="6"/>
  <c r="AF22" i="6"/>
  <c r="AE22" i="6"/>
  <c r="AE20" i="6"/>
  <c r="AJ18" i="6"/>
  <c r="AI18" i="6"/>
  <c r="AH18" i="6"/>
  <c r="AG18" i="6"/>
  <c r="AF18" i="6"/>
  <c r="AE18" i="6"/>
  <c r="AE16" i="6"/>
  <c r="AJ14" i="6"/>
  <c r="AI14" i="6"/>
  <c r="AH14" i="6"/>
  <c r="AG14" i="6"/>
  <c r="AF14" i="6"/>
  <c r="AE14" i="6"/>
  <c r="AE12" i="6"/>
  <c r="AJ10" i="6"/>
  <c r="AI10" i="6"/>
  <c r="AH10" i="6"/>
  <c r="AG10" i="6"/>
  <c r="AF10" i="6"/>
  <c r="AE10" i="6"/>
  <c r="AE8" i="6"/>
  <c r="AC10" i="6"/>
  <c r="AB10" i="6"/>
  <c r="AA10" i="6"/>
  <c r="Z10" i="6"/>
  <c r="Y10" i="6"/>
  <c r="X10" i="6"/>
  <c r="X8" i="6"/>
  <c r="AC6" i="6"/>
  <c r="AB6" i="6"/>
  <c r="AA6" i="6"/>
  <c r="Z6" i="6"/>
  <c r="Y6" i="6"/>
  <c r="X6" i="6"/>
  <c r="X4" i="6"/>
  <c r="AE49" i="5"/>
  <c r="AF49" i="5"/>
  <c r="AG49" i="5"/>
  <c r="AH49" i="5"/>
  <c r="AI49" i="5"/>
  <c r="AD49" i="5"/>
  <c r="AD47" i="5"/>
  <c r="AE45" i="5"/>
  <c r="AF45" i="5"/>
  <c r="AG45" i="5"/>
  <c r="AH45" i="5"/>
  <c r="AI45" i="5"/>
  <c r="AD45" i="5"/>
  <c r="AD43" i="5"/>
  <c r="AE41" i="5"/>
  <c r="AF41" i="5"/>
  <c r="AG41" i="5"/>
  <c r="AH41" i="5"/>
  <c r="AI41" i="5"/>
  <c r="AD41" i="5"/>
  <c r="AD39" i="5"/>
  <c r="AE37" i="5"/>
  <c r="AF37" i="5"/>
  <c r="AG37" i="5"/>
  <c r="AH37" i="5"/>
  <c r="AI37" i="5"/>
  <c r="AD37" i="5"/>
  <c r="AD35" i="5"/>
  <c r="AE33" i="5"/>
  <c r="AF33" i="5"/>
  <c r="AG33" i="5"/>
  <c r="AH33" i="5"/>
  <c r="AI33" i="5"/>
  <c r="AD33" i="5"/>
  <c r="AD31" i="5"/>
  <c r="AE26" i="5"/>
  <c r="AF26" i="5"/>
  <c r="AG26" i="5"/>
  <c r="AH26" i="5"/>
  <c r="AI26" i="5"/>
  <c r="AD26" i="5"/>
  <c r="AD24" i="5"/>
  <c r="AE22" i="5"/>
  <c r="AF22" i="5"/>
  <c r="AG22" i="5"/>
  <c r="AH22" i="5"/>
  <c r="AI22" i="5"/>
  <c r="AD22" i="5"/>
  <c r="AD20" i="5"/>
  <c r="AE18" i="5"/>
  <c r="AF18" i="5"/>
  <c r="AG18" i="5"/>
  <c r="AH18" i="5"/>
  <c r="AI18" i="5"/>
  <c r="AD18" i="5"/>
  <c r="AD16" i="5"/>
  <c r="AE14" i="5"/>
  <c r="AF14" i="5"/>
  <c r="AG14" i="5"/>
  <c r="AH14" i="5"/>
  <c r="AI14" i="5"/>
  <c r="AD14" i="5"/>
  <c r="AD12" i="5"/>
  <c r="AE10" i="5"/>
  <c r="AF10" i="5"/>
  <c r="AG10" i="5"/>
  <c r="AH10" i="5"/>
  <c r="AI10" i="5"/>
  <c r="AD10" i="5"/>
  <c r="AD8" i="5"/>
  <c r="E50" i="5"/>
  <c r="F50" i="5"/>
  <c r="G50" i="5"/>
  <c r="H50" i="5"/>
  <c r="D50" i="5"/>
  <c r="D48" i="5"/>
  <c r="E46" i="5"/>
  <c r="F46" i="5"/>
  <c r="G46" i="5"/>
  <c r="H46" i="5"/>
  <c r="D46" i="5"/>
  <c r="D44" i="5"/>
  <c r="E42" i="5"/>
  <c r="F42" i="5"/>
  <c r="G42" i="5"/>
  <c r="H42" i="5"/>
  <c r="D42" i="5"/>
  <c r="D40" i="5"/>
  <c r="E38" i="5"/>
  <c r="F38" i="5"/>
  <c r="G38" i="5"/>
  <c r="H38" i="5"/>
  <c r="D38" i="5"/>
  <c r="D36" i="5"/>
  <c r="E34" i="5"/>
  <c r="F34" i="5"/>
  <c r="G34" i="5"/>
  <c r="H34" i="5"/>
  <c r="D34" i="5"/>
  <c r="D32" i="5"/>
  <c r="V26" i="5"/>
  <c r="W26" i="5"/>
  <c r="X26" i="5"/>
  <c r="Y26" i="5"/>
  <c r="Z26" i="5"/>
  <c r="U26" i="5"/>
  <c r="U24" i="5"/>
  <c r="V22" i="5"/>
  <c r="W22" i="5"/>
  <c r="X22" i="5"/>
  <c r="Y22" i="5"/>
  <c r="Z22" i="5"/>
  <c r="U22" i="5"/>
  <c r="U20" i="5"/>
  <c r="V18" i="5"/>
  <c r="W18" i="5"/>
  <c r="X18" i="5"/>
  <c r="Y18" i="5"/>
  <c r="Z18" i="5"/>
  <c r="U18" i="5"/>
  <c r="U16" i="5"/>
  <c r="V14" i="5"/>
  <c r="W14" i="5"/>
  <c r="X14" i="5"/>
  <c r="Y14" i="5"/>
  <c r="Z14" i="5"/>
  <c r="U14" i="5"/>
  <c r="U12" i="5"/>
  <c r="V10" i="5"/>
  <c r="W10" i="5"/>
  <c r="X10" i="5"/>
  <c r="Y10" i="5"/>
  <c r="Z10" i="5"/>
  <c r="U10" i="5"/>
  <c r="U8" i="5"/>
  <c r="O10" i="5"/>
  <c r="P10" i="5"/>
  <c r="Q10" i="5"/>
  <c r="R10" i="5"/>
  <c r="S10" i="5"/>
  <c r="J41" i="13" l="1"/>
  <c r="E45" i="13"/>
  <c r="F45" i="13"/>
  <c r="G45" i="13"/>
  <c r="H45" i="13"/>
  <c r="I45" i="13"/>
  <c r="D45" i="13"/>
  <c r="G42" i="13"/>
  <c r="H42" i="13"/>
  <c r="I42" i="13"/>
  <c r="D42" i="13"/>
  <c r="E42" i="13"/>
  <c r="F42" i="13"/>
  <c r="J8" i="13"/>
  <c r="H9" i="13" s="1"/>
  <c r="J11" i="13"/>
  <c r="I12" i="13" s="1"/>
  <c r="D24" i="11"/>
  <c r="E24" i="11"/>
  <c r="I24" i="11"/>
  <c r="H24" i="11"/>
  <c r="G24" i="11"/>
  <c r="F21" i="10"/>
  <c r="E21" i="10"/>
  <c r="I21" i="10"/>
  <c r="J17" i="10"/>
  <c r="J20" i="11"/>
  <c r="F12" i="11"/>
  <c r="F18" i="11"/>
  <c r="E12" i="10"/>
  <c r="I15" i="10"/>
  <c r="J8" i="10"/>
  <c r="J14" i="8"/>
  <c r="F15" i="8" s="1"/>
  <c r="J8" i="8"/>
  <c r="I9" i="8" s="1"/>
  <c r="I12" i="8"/>
  <c r="E12" i="8"/>
  <c r="H12" i="8"/>
  <c r="F12" i="8"/>
  <c r="G12" i="8"/>
  <c r="E15" i="8"/>
  <c r="I15" i="8"/>
  <c r="H15" i="8"/>
  <c r="E18" i="8"/>
  <c r="I18" i="8"/>
  <c r="H18" i="8"/>
  <c r="G18" i="8"/>
  <c r="N10" i="5"/>
  <c r="N8" i="5"/>
  <c r="L30" i="5"/>
  <c r="M30" i="5"/>
  <c r="N30" i="5"/>
  <c r="O30" i="5"/>
  <c r="P30" i="5"/>
  <c r="K30" i="5"/>
  <c r="K28" i="5"/>
  <c r="L26" i="5"/>
  <c r="M26" i="5"/>
  <c r="N26" i="5"/>
  <c r="O26" i="5"/>
  <c r="P26" i="5"/>
  <c r="K26" i="5"/>
  <c r="K24" i="5"/>
  <c r="L22" i="5"/>
  <c r="M22" i="5"/>
  <c r="N22" i="5"/>
  <c r="O22" i="5"/>
  <c r="P22" i="5"/>
  <c r="K22" i="5"/>
  <c r="K20" i="5"/>
  <c r="L18" i="5"/>
  <c r="M18" i="5"/>
  <c r="N18" i="5"/>
  <c r="O18" i="5"/>
  <c r="P18" i="5"/>
  <c r="K18" i="5"/>
  <c r="K16" i="5"/>
  <c r="L14" i="5"/>
  <c r="M14" i="5"/>
  <c r="N14" i="5"/>
  <c r="O14" i="5"/>
  <c r="P14" i="5"/>
  <c r="K14" i="5"/>
  <c r="K12" i="5"/>
  <c r="D26" i="5"/>
  <c r="E26" i="5"/>
  <c r="F26" i="5"/>
  <c r="G26" i="5"/>
  <c r="H26" i="5"/>
  <c r="C26" i="5"/>
  <c r="C24" i="5"/>
  <c r="D22" i="5"/>
  <c r="E22" i="5"/>
  <c r="F22" i="5"/>
  <c r="G22" i="5"/>
  <c r="H22" i="5"/>
  <c r="C22" i="5"/>
  <c r="C20" i="5"/>
  <c r="D18" i="5"/>
  <c r="E18" i="5"/>
  <c r="F18" i="5"/>
  <c r="G18" i="5"/>
  <c r="H18" i="5"/>
  <c r="C18" i="5"/>
  <c r="C16" i="5"/>
  <c r="D14" i="5"/>
  <c r="E14" i="5"/>
  <c r="F14" i="5"/>
  <c r="G14" i="5"/>
  <c r="H14" i="5"/>
  <c r="C14" i="5"/>
  <c r="C12" i="5"/>
  <c r="H10" i="5"/>
  <c r="I10" i="5"/>
  <c r="J10" i="5"/>
  <c r="K10" i="5"/>
  <c r="L10" i="5"/>
  <c r="G10" i="5"/>
  <c r="G8" i="5"/>
  <c r="N4" i="5"/>
  <c r="O6" i="5"/>
  <c r="P6" i="5"/>
  <c r="Q6" i="5"/>
  <c r="R6" i="5"/>
  <c r="S6" i="5"/>
  <c r="N6" i="5"/>
  <c r="G195" i="3"/>
  <c r="H195" i="3"/>
  <c r="I195" i="3"/>
  <c r="J195" i="3"/>
  <c r="K195" i="3"/>
  <c r="G196" i="3"/>
  <c r="H196" i="3"/>
  <c r="I196" i="3"/>
  <c r="I198" i="3" s="1"/>
  <c r="J196" i="3"/>
  <c r="K196" i="3"/>
  <c r="K198" i="3" s="1"/>
  <c r="G198" i="3"/>
  <c r="H198" i="3"/>
  <c r="J198" i="3"/>
  <c r="G199" i="3"/>
  <c r="H199" i="3"/>
  <c r="I199" i="3"/>
  <c r="J199" i="3"/>
  <c r="K199" i="3"/>
  <c r="G201" i="3"/>
  <c r="H201" i="3"/>
  <c r="I201" i="3"/>
  <c r="J201" i="3"/>
  <c r="K201" i="3"/>
  <c r="G202" i="3"/>
  <c r="H202" i="3"/>
  <c r="I202" i="3"/>
  <c r="J202" i="3"/>
  <c r="K202" i="3"/>
  <c r="G204" i="3"/>
  <c r="H204" i="3"/>
  <c r="I204" i="3"/>
  <c r="J204" i="3"/>
  <c r="K204" i="3"/>
  <c r="G205" i="3"/>
  <c r="H205" i="3"/>
  <c r="I205" i="3"/>
  <c r="J205" i="3"/>
  <c r="J207" i="3" s="1"/>
  <c r="K205" i="3"/>
  <c r="K207" i="3" s="1"/>
  <c r="G207" i="3"/>
  <c r="H207" i="3"/>
  <c r="I207" i="3"/>
  <c r="G208" i="3"/>
  <c r="H208" i="3"/>
  <c r="I208" i="3"/>
  <c r="J208" i="3"/>
  <c r="K208" i="3"/>
  <c r="F199" i="3"/>
  <c r="F198" i="3"/>
  <c r="F196" i="3"/>
  <c r="G177" i="3"/>
  <c r="H177" i="3"/>
  <c r="I177" i="3"/>
  <c r="J177" i="3"/>
  <c r="K177" i="3"/>
  <c r="G178" i="3"/>
  <c r="H178" i="3"/>
  <c r="I178" i="3"/>
  <c r="J178" i="3"/>
  <c r="K178" i="3"/>
  <c r="G180" i="3"/>
  <c r="H180" i="3"/>
  <c r="I180" i="3"/>
  <c r="J180" i="3"/>
  <c r="K180" i="3"/>
  <c r="G181" i="3"/>
  <c r="G183" i="3" s="1"/>
  <c r="H181" i="3"/>
  <c r="I181" i="3"/>
  <c r="I183" i="3" s="1"/>
  <c r="J181" i="3"/>
  <c r="K181" i="3"/>
  <c r="H183" i="3"/>
  <c r="J183" i="3"/>
  <c r="K183" i="3"/>
  <c r="G184" i="3"/>
  <c r="H184" i="3"/>
  <c r="I184" i="3"/>
  <c r="J184" i="3"/>
  <c r="K184" i="3"/>
  <c r="F184" i="3"/>
  <c r="F183" i="3"/>
  <c r="F181" i="3"/>
  <c r="F178" i="3"/>
  <c r="F177" i="3"/>
  <c r="H147" i="3"/>
  <c r="I147" i="3"/>
  <c r="J147" i="3"/>
  <c r="K147" i="3"/>
  <c r="H148" i="3"/>
  <c r="I148" i="3"/>
  <c r="J148" i="3"/>
  <c r="K148" i="3"/>
  <c r="H150" i="3"/>
  <c r="I150" i="3"/>
  <c r="J150" i="3"/>
  <c r="K150" i="3"/>
  <c r="H151" i="3"/>
  <c r="I151" i="3"/>
  <c r="J151" i="3"/>
  <c r="K151" i="3"/>
  <c r="H153" i="3"/>
  <c r="I153" i="3"/>
  <c r="J153" i="3"/>
  <c r="K153" i="3"/>
  <c r="H154" i="3"/>
  <c r="I154" i="3"/>
  <c r="J154" i="3"/>
  <c r="K154" i="3"/>
  <c r="H156" i="3"/>
  <c r="I156" i="3"/>
  <c r="J156" i="3"/>
  <c r="K156" i="3"/>
  <c r="H157" i="3"/>
  <c r="I157" i="3"/>
  <c r="J157" i="3"/>
  <c r="K157" i="3"/>
  <c r="H159" i="3"/>
  <c r="I159" i="3"/>
  <c r="J159" i="3"/>
  <c r="K159" i="3"/>
  <c r="H160" i="3"/>
  <c r="I160" i="3"/>
  <c r="J160" i="3"/>
  <c r="K160" i="3"/>
  <c r="G160" i="3"/>
  <c r="G159" i="3"/>
  <c r="G157" i="3"/>
  <c r="G156" i="3"/>
  <c r="G154" i="3"/>
  <c r="G153" i="3"/>
  <c r="G151" i="3"/>
  <c r="G150" i="3"/>
  <c r="G148" i="3"/>
  <c r="G147" i="3"/>
  <c r="G132" i="3"/>
  <c r="H132" i="3"/>
  <c r="I132" i="3"/>
  <c r="J132" i="3"/>
  <c r="K132" i="3"/>
  <c r="K135" i="3" s="1"/>
  <c r="G133" i="3"/>
  <c r="H133" i="3"/>
  <c r="H136" i="3" s="1"/>
  <c r="I133" i="3"/>
  <c r="I136" i="3" s="1"/>
  <c r="J133" i="3"/>
  <c r="K133" i="3"/>
  <c r="G135" i="3"/>
  <c r="H135" i="3"/>
  <c r="I135" i="3"/>
  <c r="J135" i="3"/>
  <c r="G136" i="3"/>
  <c r="J136" i="3"/>
  <c r="K136" i="3"/>
  <c r="G138" i="3"/>
  <c r="H138" i="3"/>
  <c r="I138" i="3"/>
  <c r="J138" i="3"/>
  <c r="K138" i="3"/>
  <c r="G139" i="3"/>
  <c r="H139" i="3"/>
  <c r="I139" i="3"/>
  <c r="J139" i="3"/>
  <c r="K139" i="3"/>
  <c r="F139" i="3"/>
  <c r="F138" i="3"/>
  <c r="F136" i="3"/>
  <c r="F135" i="3"/>
  <c r="F133" i="3"/>
  <c r="G160" i="1"/>
  <c r="H160" i="1"/>
  <c r="I160" i="1"/>
  <c r="J160" i="1"/>
  <c r="K160" i="1"/>
  <c r="F160" i="1"/>
  <c r="I9" i="13" l="1"/>
  <c r="E9" i="13"/>
  <c r="D9" i="13"/>
  <c r="F9" i="13"/>
  <c r="G9" i="13"/>
  <c r="E12" i="13"/>
  <c r="F12" i="13"/>
  <c r="G12" i="13"/>
  <c r="D12" i="13"/>
  <c r="H12" i="13"/>
  <c r="G15" i="11"/>
  <c r="D15" i="11"/>
  <c r="I9" i="11"/>
  <c r="D9" i="11"/>
  <c r="D9" i="10"/>
  <c r="E9" i="10"/>
  <c r="F9" i="10"/>
  <c r="G9" i="10"/>
  <c r="I9" i="10"/>
  <c r="H9" i="10"/>
  <c r="I21" i="11"/>
  <c r="G21" i="11"/>
  <c r="F21" i="11"/>
  <c r="E21" i="11"/>
  <c r="E12" i="11"/>
  <c r="H15" i="11"/>
  <c r="F15" i="11"/>
  <c r="I15" i="11"/>
  <c r="H21" i="11"/>
  <c r="H9" i="11"/>
  <c r="E15" i="11"/>
  <c r="G12" i="11"/>
  <c r="H12" i="11"/>
  <c r="I12" i="11"/>
  <c r="H18" i="11"/>
  <c r="E9" i="11"/>
  <c r="G18" i="11"/>
  <c r="G9" i="11"/>
  <c r="I18" i="11"/>
  <c r="F9" i="11"/>
  <c r="E18" i="11"/>
  <c r="E18" i="10"/>
  <c r="F18" i="10"/>
  <c r="G18" i="10"/>
  <c r="E15" i="10"/>
  <c r="H18" i="10"/>
  <c r="G15" i="10"/>
  <c r="I18" i="10"/>
  <c r="H15" i="10"/>
  <c r="F15" i="10"/>
  <c r="H12" i="10"/>
  <c r="I12" i="10"/>
  <c r="G12" i="10"/>
  <c r="F12" i="10"/>
  <c r="G15" i="8"/>
  <c r="F9" i="8"/>
  <c r="G9" i="8"/>
  <c r="H9" i="8"/>
  <c r="E9" i="8"/>
  <c r="G77" i="3"/>
  <c r="H77" i="3"/>
  <c r="I77" i="3"/>
  <c r="J77" i="3"/>
  <c r="K77" i="3"/>
  <c r="G80" i="3"/>
  <c r="G82" i="3" s="1"/>
  <c r="H80" i="3"/>
  <c r="H82" i="3" s="1"/>
  <c r="I80" i="3"/>
  <c r="I82" i="3" s="1"/>
  <c r="J80" i="3"/>
  <c r="J82" i="3" s="1"/>
  <c r="K80" i="3"/>
  <c r="K82" i="3" s="1"/>
  <c r="G86" i="3"/>
  <c r="G88" i="3" s="1"/>
  <c r="H86" i="3"/>
  <c r="H88" i="3" s="1"/>
  <c r="I86" i="3"/>
  <c r="I88" i="3" s="1"/>
  <c r="J86" i="3"/>
  <c r="J88" i="3" s="1"/>
  <c r="K86" i="3"/>
  <c r="K88" i="3" s="1"/>
  <c r="G91" i="3"/>
  <c r="G95" i="3" s="1"/>
  <c r="G97" i="3" s="1"/>
  <c r="G101" i="3" s="1"/>
  <c r="H91" i="3"/>
  <c r="H95" i="3" s="1"/>
  <c r="H97" i="3" s="1"/>
  <c r="H101" i="3" s="1"/>
  <c r="I91" i="3"/>
  <c r="I95" i="3" s="1"/>
  <c r="I97" i="3" s="1"/>
  <c r="I101" i="3" s="1"/>
  <c r="J91" i="3"/>
  <c r="J95" i="3" s="1"/>
  <c r="J97" i="3" s="1"/>
  <c r="J101" i="3" s="1"/>
  <c r="K91" i="3"/>
  <c r="K95" i="3" s="1"/>
  <c r="K97" i="3" s="1"/>
  <c r="K101" i="3" s="1"/>
  <c r="G92" i="3"/>
  <c r="G94" i="3" s="1"/>
  <c r="H92" i="3"/>
  <c r="H94" i="3" s="1"/>
  <c r="I92" i="3"/>
  <c r="I94" i="3" s="1"/>
  <c r="J92" i="3"/>
  <c r="J94" i="3" s="1"/>
  <c r="K92" i="3"/>
  <c r="K94" i="3" s="1"/>
  <c r="G98" i="3"/>
  <c r="G100" i="3" s="1"/>
  <c r="H98" i="3"/>
  <c r="H100" i="3" s="1"/>
  <c r="I98" i="3"/>
  <c r="I100" i="3" s="1"/>
  <c r="J98" i="3"/>
  <c r="J100" i="3" s="1"/>
  <c r="K98" i="3"/>
  <c r="K100" i="3" s="1"/>
  <c r="F86" i="3"/>
  <c r="F88" i="3" s="1"/>
  <c r="F80" i="3"/>
  <c r="F82" i="3" s="1"/>
  <c r="F77" i="3"/>
  <c r="F98" i="3"/>
  <c r="F100" i="3" s="1"/>
  <c r="F92" i="3"/>
  <c r="F94" i="3" s="1"/>
  <c r="F91" i="3"/>
  <c r="F95" i="3" s="1"/>
  <c r="F97" i="3" s="1"/>
  <c r="F101" i="3" s="1"/>
  <c r="G151" i="1"/>
  <c r="H151" i="1"/>
  <c r="I151" i="1"/>
  <c r="J151" i="1"/>
  <c r="K151" i="1"/>
  <c r="F151" i="1"/>
  <c r="G21" i="3" l="1"/>
  <c r="G24" i="3" s="1"/>
  <c r="H21" i="3"/>
  <c r="H24" i="3" s="1"/>
  <c r="I21" i="3"/>
  <c r="I24" i="3" s="1"/>
  <c r="J21" i="3"/>
  <c r="J24" i="3" s="1"/>
  <c r="J27" i="3" s="1"/>
  <c r="J30" i="3" s="1"/>
  <c r="K21" i="3"/>
  <c r="K24" i="3" s="1"/>
  <c r="K27" i="3" s="1"/>
  <c r="G23" i="3"/>
  <c r="H23" i="3"/>
  <c r="I23" i="3"/>
  <c r="J23" i="3"/>
  <c r="K23" i="3"/>
  <c r="G33" i="3"/>
  <c r="H33" i="3"/>
  <c r="I33" i="3"/>
  <c r="J33" i="3"/>
  <c r="K33" i="3"/>
  <c r="G48" i="3"/>
  <c r="G55" i="3" s="1"/>
  <c r="H48" i="3"/>
  <c r="H55" i="3" s="1"/>
  <c r="I48" i="3"/>
  <c r="I55" i="3" s="1"/>
  <c r="J48" i="3"/>
  <c r="J55" i="3" s="1"/>
  <c r="K48" i="3"/>
  <c r="K55" i="3" s="1"/>
  <c r="G61" i="3"/>
  <c r="H61" i="3"/>
  <c r="I61" i="3"/>
  <c r="J61" i="3"/>
  <c r="K61" i="3"/>
  <c r="F61" i="3"/>
  <c r="F48" i="3"/>
  <c r="F55" i="3" s="1"/>
  <c r="F33" i="3"/>
  <c r="F23" i="3"/>
  <c r="F21" i="3"/>
  <c r="F24" i="3" s="1"/>
  <c r="F27" i="3" s="1"/>
  <c r="O5" i="3"/>
  <c r="R5" i="3"/>
  <c r="M5" i="3"/>
  <c r="N5" i="3"/>
  <c r="P5" i="3"/>
  <c r="Q5" i="3"/>
  <c r="L204" i="3"/>
  <c r="D201" i="3"/>
  <c r="D195" i="3"/>
  <c r="D169" i="3"/>
  <c r="R159" i="3"/>
  <c r="N159" i="3"/>
  <c r="Q156" i="3"/>
  <c r="J165" i="3" s="1"/>
  <c r="J168" i="3" s="1"/>
  <c r="O156" i="3"/>
  <c r="H165" i="3" s="1"/>
  <c r="H168" i="3" s="1"/>
  <c r="N153" i="3"/>
  <c r="G162" i="3" s="1"/>
  <c r="G166" i="3" s="1"/>
  <c r="P153" i="3"/>
  <c r="I162" i="3" s="1"/>
  <c r="I166" i="3" s="1"/>
  <c r="P147" i="3"/>
  <c r="I163" i="3" s="1"/>
  <c r="I169" i="3" s="1"/>
  <c r="R138" i="3"/>
  <c r="Q138" i="3"/>
  <c r="P138" i="3"/>
  <c r="O138" i="3"/>
  <c r="N138" i="3"/>
  <c r="M138" i="3"/>
  <c r="D136" i="3"/>
  <c r="R135" i="3"/>
  <c r="Q135" i="3"/>
  <c r="P135" i="3"/>
  <c r="O135" i="3"/>
  <c r="N135" i="3"/>
  <c r="M135" i="3"/>
  <c r="R132" i="3"/>
  <c r="Q132" i="3"/>
  <c r="P132" i="3"/>
  <c r="O132" i="3"/>
  <c r="N132" i="3"/>
  <c r="M132" i="3"/>
  <c r="D112" i="3"/>
  <c r="D115" i="3" s="1"/>
  <c r="D118" i="3" s="1"/>
  <c r="R100" i="3"/>
  <c r="Q100" i="3"/>
  <c r="P100" i="3"/>
  <c r="O100" i="3"/>
  <c r="N100" i="3"/>
  <c r="M100" i="3"/>
  <c r="R97" i="3"/>
  <c r="Q97" i="3"/>
  <c r="P97" i="3"/>
  <c r="O97" i="3"/>
  <c r="N97" i="3"/>
  <c r="M97" i="3"/>
  <c r="R94" i="3"/>
  <c r="Q94" i="3"/>
  <c r="P94" i="3"/>
  <c r="O94" i="3"/>
  <c r="N94" i="3"/>
  <c r="M94" i="3"/>
  <c r="R91" i="3"/>
  <c r="Q91" i="3"/>
  <c r="P91" i="3"/>
  <c r="O91" i="3"/>
  <c r="N91" i="3"/>
  <c r="M91" i="3"/>
  <c r="D91" i="3"/>
  <c r="D95" i="3" s="1"/>
  <c r="D74" i="3"/>
  <c r="D181" i="3" s="1"/>
  <c r="D65" i="3"/>
  <c r="D199" i="3" s="1"/>
  <c r="D56" i="3"/>
  <c r="D59" i="3" s="1"/>
  <c r="D196" i="3" s="1"/>
  <c r="D51" i="3"/>
  <c r="D177" i="3" s="1"/>
  <c r="D45" i="3"/>
  <c r="D37" i="3"/>
  <c r="D202" i="3" s="1"/>
  <c r="J70" i="3"/>
  <c r="Q70" i="3" s="1"/>
  <c r="I108" i="3"/>
  <c r="P108" i="3" s="1"/>
  <c r="G192" i="3"/>
  <c r="N192" i="3" s="1"/>
  <c r="F192" i="3"/>
  <c r="M192" i="3" s="1"/>
  <c r="G149" i="1"/>
  <c r="H149" i="1"/>
  <c r="I149" i="1"/>
  <c r="J149" i="1"/>
  <c r="K149" i="1"/>
  <c r="F149" i="1"/>
  <c r="G139" i="1"/>
  <c r="H139" i="1"/>
  <c r="I139" i="1"/>
  <c r="J139" i="1"/>
  <c r="K139" i="1"/>
  <c r="G140" i="1"/>
  <c r="H140" i="1"/>
  <c r="I140" i="1"/>
  <c r="J140" i="1"/>
  <c r="K140" i="1"/>
  <c r="G142" i="1"/>
  <c r="H142" i="1"/>
  <c r="I142" i="1"/>
  <c r="J142" i="1"/>
  <c r="K142" i="1"/>
  <c r="F142" i="1"/>
  <c r="F140" i="1"/>
  <c r="F139" i="1"/>
  <c r="G120" i="1"/>
  <c r="G114" i="3" s="1"/>
  <c r="H120" i="1"/>
  <c r="H114" i="3" s="1"/>
  <c r="I120" i="1"/>
  <c r="I114" i="3" s="1"/>
  <c r="J120" i="1"/>
  <c r="J114" i="3" s="1"/>
  <c r="K120" i="1"/>
  <c r="K114" i="3" s="1"/>
  <c r="F120" i="1"/>
  <c r="F114" i="3" s="1"/>
  <c r="K141" i="1" l="1"/>
  <c r="K117" i="3" s="1"/>
  <c r="K120" i="3" s="1"/>
  <c r="K123" i="3" s="1"/>
  <c r="H141" i="1"/>
  <c r="H117" i="3" s="1"/>
  <c r="H120" i="3" s="1"/>
  <c r="H123" i="3" s="1"/>
  <c r="N23" i="3"/>
  <c r="J141" i="1"/>
  <c r="I141" i="1"/>
  <c r="R23" i="3"/>
  <c r="Q23" i="3"/>
  <c r="G141" i="1"/>
  <c r="F141" i="1"/>
  <c r="F143" i="1" s="1"/>
  <c r="K143" i="1"/>
  <c r="F30" i="3"/>
  <c r="O23" i="3"/>
  <c r="H27" i="3"/>
  <c r="H143" i="1"/>
  <c r="K62" i="3"/>
  <c r="R61" i="3" s="1"/>
  <c r="M23" i="3"/>
  <c r="H62" i="3"/>
  <c r="O61" i="3" s="1"/>
  <c r="N150" i="3"/>
  <c r="R147" i="3"/>
  <c r="K163" i="3" s="1"/>
  <c r="K169" i="3" s="1"/>
  <c r="N147" i="3"/>
  <c r="G163" i="3" s="1"/>
  <c r="G169" i="3" s="1"/>
  <c r="J34" i="3"/>
  <c r="K30" i="3"/>
  <c r="P23" i="3"/>
  <c r="I27" i="3"/>
  <c r="G27" i="3"/>
  <c r="K174" i="3"/>
  <c r="R174" i="3" s="1"/>
  <c r="Q153" i="3"/>
  <c r="N156" i="3"/>
  <c r="G165" i="3" s="1"/>
  <c r="G168" i="3" s="1"/>
  <c r="P156" i="3"/>
  <c r="I165" i="3" s="1"/>
  <c r="I168" i="3" s="1"/>
  <c r="Q147" i="3"/>
  <c r="J163" i="3" s="1"/>
  <c r="J169" i="3" s="1"/>
  <c r="O150" i="3"/>
  <c r="R156" i="3"/>
  <c r="K165" i="3" s="1"/>
  <c r="K168" i="3" s="1"/>
  <c r="Q150" i="3"/>
  <c r="O153" i="3"/>
  <c r="P159" i="3"/>
  <c r="D30" i="3"/>
  <c r="D21" i="3" s="1"/>
  <c r="D24" i="3" s="1"/>
  <c r="D27" i="3" s="1"/>
  <c r="O147" i="3"/>
  <c r="H163" i="3" s="1"/>
  <c r="H169" i="3" s="1"/>
  <c r="O168" i="3" s="1"/>
  <c r="R150" i="3"/>
  <c r="Q159" i="3"/>
  <c r="H192" i="3"/>
  <c r="O192" i="3" s="1"/>
  <c r="F129" i="3"/>
  <c r="M129" i="3" s="1"/>
  <c r="J192" i="3"/>
  <c r="Q192" i="3" s="1"/>
  <c r="K70" i="3"/>
  <c r="R70" i="3" s="1"/>
  <c r="H129" i="3"/>
  <c r="O129" i="3" s="1"/>
  <c r="F174" i="3"/>
  <c r="M174" i="3" s="1"/>
  <c r="G144" i="3"/>
  <c r="N144" i="3" s="1"/>
  <c r="J108" i="3"/>
  <c r="Q108" i="3" s="1"/>
  <c r="P150" i="3"/>
  <c r="R153" i="3"/>
  <c r="O159" i="3"/>
  <c r="D205" i="3"/>
  <c r="D207" i="3" s="1"/>
  <c r="D183" i="3"/>
  <c r="P162" i="3"/>
  <c r="Q168" i="3"/>
  <c r="D64" i="3"/>
  <c r="D198" i="3" s="1"/>
  <c r="K108" i="3"/>
  <c r="R108" i="3" s="1"/>
  <c r="G129" i="3"/>
  <c r="N129" i="3" s="1"/>
  <c r="F144" i="3"/>
  <c r="M144" i="3" s="1"/>
  <c r="I192" i="3"/>
  <c r="P192" i="3" s="1"/>
  <c r="D41" i="3"/>
  <c r="F70" i="3"/>
  <c r="M70" i="3" s="1"/>
  <c r="I129" i="3"/>
  <c r="P129" i="3" s="1"/>
  <c r="H144" i="3"/>
  <c r="O144" i="3" s="1"/>
  <c r="G174" i="3"/>
  <c r="N174" i="3" s="1"/>
  <c r="K192" i="3"/>
  <c r="R192" i="3" s="1"/>
  <c r="G70" i="3"/>
  <c r="N70" i="3" s="1"/>
  <c r="F108" i="3"/>
  <c r="M108" i="3" s="1"/>
  <c r="D111" i="3"/>
  <c r="J129" i="3"/>
  <c r="Q129" i="3" s="1"/>
  <c r="I144" i="3"/>
  <c r="P144" i="3" s="1"/>
  <c r="H174" i="3"/>
  <c r="O174" i="3" s="1"/>
  <c r="H70" i="3"/>
  <c r="O70" i="3" s="1"/>
  <c r="G108" i="3"/>
  <c r="N108" i="3" s="1"/>
  <c r="K129" i="3"/>
  <c r="R129" i="3" s="1"/>
  <c r="J144" i="3"/>
  <c r="Q144" i="3" s="1"/>
  <c r="I174" i="3"/>
  <c r="P174" i="3" s="1"/>
  <c r="I70" i="3"/>
  <c r="P70" i="3" s="1"/>
  <c r="H108" i="3"/>
  <c r="O108" i="3" s="1"/>
  <c r="K144" i="3"/>
  <c r="R144" i="3" s="1"/>
  <c r="J174" i="3"/>
  <c r="Q174" i="3" s="1"/>
  <c r="J162" i="3" l="1"/>
  <c r="J166" i="3" s="1"/>
  <c r="Q165" i="3" s="1"/>
  <c r="H162" i="3"/>
  <c r="H166" i="3" s="1"/>
  <c r="O165" i="3" s="1"/>
  <c r="K162" i="3"/>
  <c r="K166" i="3" s="1"/>
  <c r="R165" i="3" s="1"/>
  <c r="N162" i="3"/>
  <c r="I143" i="1"/>
  <c r="I117" i="3"/>
  <c r="I120" i="3" s="1"/>
  <c r="I123" i="3" s="1"/>
  <c r="J62" i="3"/>
  <c r="Q61" i="3" s="1"/>
  <c r="J117" i="3"/>
  <c r="J120" i="3" s="1"/>
  <c r="J123" i="3" s="1"/>
  <c r="F62" i="3"/>
  <c r="M61" i="3" s="1"/>
  <c r="F117" i="3"/>
  <c r="F120" i="3" s="1"/>
  <c r="F123" i="3" s="1"/>
  <c r="G62" i="3"/>
  <c r="N61" i="3" s="1"/>
  <c r="G117" i="3"/>
  <c r="G120" i="3" s="1"/>
  <c r="G123" i="3" s="1"/>
  <c r="J143" i="1"/>
  <c r="I62" i="3"/>
  <c r="P61" i="3" s="1"/>
  <c r="G143" i="1"/>
  <c r="H30" i="3"/>
  <c r="F34" i="3"/>
  <c r="P165" i="3"/>
  <c r="Q162" i="3"/>
  <c r="O162" i="3"/>
  <c r="R168" i="3"/>
  <c r="P168" i="3"/>
  <c r="N165" i="3"/>
  <c r="J37" i="3"/>
  <c r="Q33" i="3"/>
  <c r="K34" i="3"/>
  <c r="G30" i="3"/>
  <c r="I30" i="3"/>
  <c r="N168" i="3"/>
  <c r="D34" i="3"/>
  <c r="D73" i="3"/>
  <c r="D180" i="3" s="1"/>
  <c r="D204" i="3" s="1"/>
  <c r="D49" i="3"/>
  <c r="R162" i="3" l="1"/>
  <c r="F37" i="3"/>
  <c r="M33" i="3"/>
  <c r="H34" i="3"/>
  <c r="J41" i="3"/>
  <c r="J73" i="3" s="1"/>
  <c r="G34" i="3"/>
  <c r="R33" i="3"/>
  <c r="K37" i="3"/>
  <c r="I34" i="3"/>
  <c r="D76" i="3"/>
  <c r="D79" i="3" s="1"/>
  <c r="D83" i="3" s="1"/>
  <c r="J76" i="3" l="1"/>
  <c r="F202" i="3"/>
  <c r="F41" i="3"/>
  <c r="F73" i="3" s="1"/>
  <c r="H37" i="3"/>
  <c r="O33" i="3"/>
  <c r="N33" i="3"/>
  <c r="G37" i="3"/>
  <c r="J45" i="3"/>
  <c r="P33" i="3"/>
  <c r="I37" i="3"/>
  <c r="K41" i="3"/>
  <c r="K73" i="3" s="1"/>
  <c r="D85" i="3"/>
  <c r="D89" i="3" s="1"/>
  <c r="K76" i="3" l="1"/>
  <c r="F76" i="3"/>
  <c r="F180" i="3"/>
  <c r="F204" i="3" s="1"/>
  <c r="J79" i="3"/>
  <c r="Q76" i="3"/>
  <c r="H41" i="3"/>
  <c r="H73" i="3" s="1"/>
  <c r="F45" i="3"/>
  <c r="F49" i="3" s="1"/>
  <c r="J49" i="3"/>
  <c r="K45" i="3"/>
  <c r="I41" i="3"/>
  <c r="I73" i="3" s="1"/>
  <c r="G41" i="3"/>
  <c r="G73" i="3" s="1"/>
  <c r="G11" i="1"/>
  <c r="H11" i="1"/>
  <c r="I11" i="1"/>
  <c r="J11" i="1"/>
  <c r="J20" i="3" s="1"/>
  <c r="K11" i="1"/>
  <c r="F11" i="1"/>
  <c r="G106" i="1"/>
  <c r="H106" i="1"/>
  <c r="I106" i="1"/>
  <c r="J106" i="1"/>
  <c r="K106" i="1"/>
  <c r="F106" i="1"/>
  <c r="G97" i="1"/>
  <c r="G148" i="1" s="1"/>
  <c r="H97" i="1"/>
  <c r="H148" i="1" s="1"/>
  <c r="I97" i="1"/>
  <c r="I148" i="1" s="1"/>
  <c r="J97" i="1"/>
  <c r="J148" i="1" s="1"/>
  <c r="K97" i="1"/>
  <c r="K148" i="1" s="1"/>
  <c r="F97" i="1"/>
  <c r="G87" i="1"/>
  <c r="G150" i="1" s="1"/>
  <c r="H87" i="1"/>
  <c r="H150" i="1" s="1"/>
  <c r="I87" i="1"/>
  <c r="I150" i="1" s="1"/>
  <c r="J87" i="1"/>
  <c r="J150" i="1" s="1"/>
  <c r="K87" i="1"/>
  <c r="K150" i="1" s="1"/>
  <c r="F87" i="1"/>
  <c r="F150" i="1" s="1"/>
  <c r="G64" i="1"/>
  <c r="H64" i="1"/>
  <c r="I64" i="1"/>
  <c r="J64" i="1"/>
  <c r="K64" i="1"/>
  <c r="F64" i="1"/>
  <c r="G57" i="1"/>
  <c r="H57" i="1"/>
  <c r="I57" i="1"/>
  <c r="J57" i="1"/>
  <c r="K57" i="1"/>
  <c r="F57" i="1"/>
  <c r="G51" i="1"/>
  <c r="H51" i="1"/>
  <c r="I51" i="1"/>
  <c r="J51" i="1"/>
  <c r="K51" i="1"/>
  <c r="F51" i="1"/>
  <c r="H76" i="3" l="1"/>
  <c r="I76" i="3"/>
  <c r="Q20" i="3"/>
  <c r="J83" i="3"/>
  <c r="Q79" i="3"/>
  <c r="F148" i="1"/>
  <c r="F152" i="1" s="1"/>
  <c r="F15" i="3" s="1"/>
  <c r="F132" i="3"/>
  <c r="F79" i="3"/>
  <c r="M76" i="3"/>
  <c r="G76" i="3"/>
  <c r="K79" i="3"/>
  <c r="R76" i="3"/>
  <c r="G152" i="1"/>
  <c r="G15" i="3" s="1"/>
  <c r="J19" i="1"/>
  <c r="J29" i="3" s="1"/>
  <c r="J26" i="3" s="1"/>
  <c r="I152" i="1"/>
  <c r="I15" i="3" s="1"/>
  <c r="H152" i="1"/>
  <c r="H15" i="3" s="1"/>
  <c r="K152" i="1"/>
  <c r="K15" i="3" s="1"/>
  <c r="F144" i="1"/>
  <c r="F145" i="1" s="1"/>
  <c r="F18" i="3" s="1"/>
  <c r="F9" i="3"/>
  <c r="F112" i="3" s="1"/>
  <c r="F122" i="1"/>
  <c r="K19" i="1"/>
  <c r="K20" i="3"/>
  <c r="K144" i="1"/>
  <c r="K145" i="1" s="1"/>
  <c r="K18" i="3" s="1"/>
  <c r="K9" i="3"/>
  <c r="K112" i="3" s="1"/>
  <c r="K122" i="1"/>
  <c r="I19" i="1"/>
  <c r="I20" i="3"/>
  <c r="J9" i="3"/>
  <c r="J112" i="3" s="1"/>
  <c r="J122" i="1"/>
  <c r="J144" i="1"/>
  <c r="J145" i="1" s="1"/>
  <c r="J18" i="3" s="1"/>
  <c r="H19" i="1"/>
  <c r="H20" i="3"/>
  <c r="I144" i="1"/>
  <c r="I145" i="1" s="1"/>
  <c r="I18" i="3" s="1"/>
  <c r="I122" i="1"/>
  <c r="I9" i="3"/>
  <c r="I112" i="3" s="1"/>
  <c r="M48" i="3"/>
  <c r="F52" i="3"/>
  <c r="J152" i="1"/>
  <c r="J15" i="3" s="1"/>
  <c r="H122" i="1"/>
  <c r="H9" i="3"/>
  <c r="H112" i="3" s="1"/>
  <c r="H144" i="1"/>
  <c r="H145" i="1" s="1"/>
  <c r="H18" i="3" s="1"/>
  <c r="G19" i="1"/>
  <c r="G20" i="3"/>
  <c r="G122" i="1"/>
  <c r="G9" i="3"/>
  <c r="G112" i="3" s="1"/>
  <c r="G144" i="1"/>
  <c r="G145" i="1" s="1"/>
  <c r="G18" i="3" s="1"/>
  <c r="F19" i="1"/>
  <c r="F20" i="3"/>
  <c r="H45" i="3"/>
  <c r="I45" i="3"/>
  <c r="K49" i="3"/>
  <c r="G45" i="3"/>
  <c r="J52" i="3"/>
  <c r="Q48" i="3"/>
  <c r="H99" i="1"/>
  <c r="G99" i="1"/>
  <c r="G70" i="1"/>
  <c r="G71" i="1" s="1"/>
  <c r="G72" i="1" s="1"/>
  <c r="K99" i="1"/>
  <c r="I99" i="1"/>
  <c r="F99" i="1"/>
  <c r="J70" i="1"/>
  <c r="J71" i="1" s="1"/>
  <c r="J72" i="1" s="1"/>
  <c r="H70" i="1"/>
  <c r="H71" i="1" s="1"/>
  <c r="H72" i="1" s="1"/>
  <c r="J99" i="1"/>
  <c r="F70" i="1"/>
  <c r="F71" i="1" s="1"/>
  <c r="F72" i="1" s="1"/>
  <c r="K70" i="1"/>
  <c r="K71" i="1" s="1"/>
  <c r="K72" i="1" s="1"/>
  <c r="I70" i="1"/>
  <c r="I71" i="1" s="1"/>
  <c r="I72" i="1" s="1"/>
  <c r="J23" i="1" l="1"/>
  <c r="P20" i="3"/>
  <c r="F115" i="3"/>
  <c r="K83" i="3"/>
  <c r="R79" i="3"/>
  <c r="J85" i="3"/>
  <c r="Q82" i="3"/>
  <c r="M20" i="3"/>
  <c r="H115" i="3"/>
  <c r="O20" i="3"/>
  <c r="J40" i="3"/>
  <c r="Q40" i="3" s="1"/>
  <c r="Q26" i="3"/>
  <c r="Q31" i="3" s="1"/>
  <c r="K115" i="3"/>
  <c r="G79" i="3"/>
  <c r="N76" i="3"/>
  <c r="G115" i="3"/>
  <c r="F83" i="3"/>
  <c r="M79" i="3"/>
  <c r="J115" i="3"/>
  <c r="R20" i="3"/>
  <c r="Q29" i="3"/>
  <c r="J121" i="3"/>
  <c r="I79" i="3"/>
  <c r="P76" i="3"/>
  <c r="N20" i="3"/>
  <c r="I115" i="3"/>
  <c r="H79" i="3"/>
  <c r="O76" i="3"/>
  <c r="H49" i="3"/>
  <c r="J12" i="3"/>
  <c r="J74" i="3" s="1"/>
  <c r="J124" i="1"/>
  <c r="H12" i="3"/>
  <c r="H74" i="3" s="1"/>
  <c r="H124" i="1"/>
  <c r="K23" i="1"/>
  <c r="K29" i="3"/>
  <c r="G23" i="1"/>
  <c r="G29" i="3"/>
  <c r="G26" i="3" s="1"/>
  <c r="H23" i="1"/>
  <c r="H29" i="3"/>
  <c r="H26" i="3" s="1"/>
  <c r="G12" i="3"/>
  <c r="G74" i="3" s="1"/>
  <c r="G124" i="1"/>
  <c r="F23" i="1"/>
  <c r="F29" i="3"/>
  <c r="F26" i="3" s="1"/>
  <c r="I23" i="1"/>
  <c r="I29" i="3"/>
  <c r="F124" i="1"/>
  <c r="F12" i="3"/>
  <c r="F74" i="3" s="1"/>
  <c r="K124" i="1"/>
  <c r="K12" i="3"/>
  <c r="K74" i="3" s="1"/>
  <c r="I124" i="1"/>
  <c r="I12" i="3"/>
  <c r="I74" i="3" s="1"/>
  <c r="J28" i="1"/>
  <c r="J134" i="1"/>
  <c r="J36" i="3"/>
  <c r="K52" i="3"/>
  <c r="R48" i="3"/>
  <c r="I49" i="3"/>
  <c r="G49" i="3"/>
  <c r="H40" i="3" l="1"/>
  <c r="O40" i="3" s="1"/>
  <c r="O26" i="3"/>
  <c r="F40" i="3"/>
  <c r="M40" i="3" s="1"/>
  <c r="M26" i="3"/>
  <c r="H111" i="3"/>
  <c r="O73" i="3"/>
  <c r="I118" i="3"/>
  <c r="P117" i="3" s="1"/>
  <c r="P114" i="3"/>
  <c r="G118" i="3"/>
  <c r="N117" i="3" s="1"/>
  <c r="N114" i="3"/>
  <c r="J89" i="3"/>
  <c r="Q88" i="3" s="1"/>
  <c r="Q103" i="3" s="1"/>
  <c r="Q85" i="3"/>
  <c r="O29" i="3"/>
  <c r="H121" i="3"/>
  <c r="G40" i="3"/>
  <c r="N40" i="3" s="1"/>
  <c r="N26" i="3"/>
  <c r="P29" i="3"/>
  <c r="I121" i="3"/>
  <c r="J111" i="3"/>
  <c r="Q73" i="3"/>
  <c r="G83" i="3"/>
  <c r="N79" i="3"/>
  <c r="K85" i="3"/>
  <c r="R82" i="3"/>
  <c r="F111" i="3"/>
  <c r="M73" i="3"/>
  <c r="I111" i="3"/>
  <c r="P73" i="3"/>
  <c r="N29" i="3"/>
  <c r="N31" i="3" s="1"/>
  <c r="G121" i="3"/>
  <c r="J118" i="3"/>
  <c r="Q117" i="3" s="1"/>
  <c r="Q114" i="3"/>
  <c r="H118" i="3"/>
  <c r="O117" i="3" s="1"/>
  <c r="O114" i="3"/>
  <c r="I26" i="3"/>
  <c r="M29" i="3"/>
  <c r="F121" i="3"/>
  <c r="I83" i="3"/>
  <c r="P79" i="3"/>
  <c r="F208" i="3"/>
  <c r="K111" i="3"/>
  <c r="R73" i="3"/>
  <c r="R29" i="3"/>
  <c r="K121" i="3"/>
  <c r="H83" i="3"/>
  <c r="O79" i="3"/>
  <c r="J124" i="3"/>
  <c r="Q123" i="3" s="1"/>
  <c r="Q120" i="3"/>
  <c r="F85" i="3"/>
  <c r="M82" i="3"/>
  <c r="K118" i="3"/>
  <c r="R117" i="3" s="1"/>
  <c r="R114" i="3"/>
  <c r="F118" i="3"/>
  <c r="M117" i="3" s="1"/>
  <c r="M114" i="3"/>
  <c r="G111" i="3"/>
  <c r="N73" i="3"/>
  <c r="K26" i="3"/>
  <c r="F28" i="1"/>
  <c r="F44" i="3" s="1"/>
  <c r="F134" i="1"/>
  <c r="F36" i="3"/>
  <c r="Q201" i="3"/>
  <c r="J65" i="3"/>
  <c r="Q36" i="3"/>
  <c r="G28" i="1"/>
  <c r="G134" i="1"/>
  <c r="G36" i="3"/>
  <c r="J34" i="1"/>
  <c r="J8" i="3" s="1"/>
  <c r="J135" i="1"/>
  <c r="J136" i="1" s="1"/>
  <c r="J17" i="3" s="1"/>
  <c r="Q17" i="3" s="1"/>
  <c r="J44" i="3"/>
  <c r="K28" i="1"/>
  <c r="K134" i="1"/>
  <c r="K36" i="3"/>
  <c r="H28" i="1"/>
  <c r="H134" i="1"/>
  <c r="H36" i="3"/>
  <c r="I28" i="1"/>
  <c r="I134" i="1"/>
  <c r="I36" i="3"/>
  <c r="H52" i="3"/>
  <c r="O48" i="3"/>
  <c r="I52" i="3"/>
  <c r="P48" i="3"/>
  <c r="N48" i="3"/>
  <c r="G52" i="3"/>
  <c r="O31" i="3" l="1"/>
  <c r="M31" i="3"/>
  <c r="R183" i="3"/>
  <c r="R111" i="3"/>
  <c r="Q183" i="3"/>
  <c r="Q111" i="3"/>
  <c r="K40" i="3"/>
  <c r="R40" i="3" s="1"/>
  <c r="R26" i="3"/>
  <c r="R31" i="3" s="1"/>
  <c r="K124" i="3"/>
  <c r="R123" i="3" s="1"/>
  <c r="R120" i="3"/>
  <c r="F205" i="3"/>
  <c r="M180" i="3"/>
  <c r="H124" i="3"/>
  <c r="O123" i="3" s="1"/>
  <c r="O120" i="3"/>
  <c r="R180" i="3"/>
  <c r="I85" i="3"/>
  <c r="P82" i="3"/>
  <c r="M183" i="3"/>
  <c r="M111" i="3"/>
  <c r="O180" i="3"/>
  <c r="K89" i="3"/>
  <c r="R88" i="3" s="1"/>
  <c r="R103" i="3" s="1"/>
  <c r="R85" i="3"/>
  <c r="F89" i="3"/>
  <c r="M88" i="3" s="1"/>
  <c r="M103" i="3" s="1"/>
  <c r="M85" i="3"/>
  <c r="F124" i="3"/>
  <c r="M123" i="3" s="1"/>
  <c r="M120" i="3"/>
  <c r="G124" i="3"/>
  <c r="N123" i="3" s="1"/>
  <c r="N120" i="3"/>
  <c r="Q180" i="3"/>
  <c r="O183" i="3"/>
  <c r="O111" i="3"/>
  <c r="I40" i="3"/>
  <c r="P40" i="3" s="1"/>
  <c r="P26" i="3"/>
  <c r="P31" i="3" s="1"/>
  <c r="P180" i="3"/>
  <c r="I124" i="3"/>
  <c r="P123" i="3" s="1"/>
  <c r="P120" i="3"/>
  <c r="N180" i="3"/>
  <c r="N183" i="3"/>
  <c r="N111" i="3"/>
  <c r="H85" i="3"/>
  <c r="O82" i="3"/>
  <c r="P183" i="3"/>
  <c r="P111" i="3"/>
  <c r="G85" i="3"/>
  <c r="N82" i="3"/>
  <c r="K34" i="1"/>
  <c r="K8" i="3" s="1"/>
  <c r="K135" i="1"/>
  <c r="K44" i="3"/>
  <c r="F34" i="1"/>
  <c r="F8" i="3" s="1"/>
  <c r="F135" i="1"/>
  <c r="F136" i="1" s="1"/>
  <c r="F17" i="3" s="1"/>
  <c r="M17" i="3" s="1"/>
  <c r="N201" i="3"/>
  <c r="G65" i="3"/>
  <c r="N36" i="3"/>
  <c r="O201" i="3"/>
  <c r="H65" i="3"/>
  <c r="O36" i="3"/>
  <c r="J56" i="3"/>
  <c r="Q44" i="3"/>
  <c r="Q46" i="3" s="1"/>
  <c r="G34" i="1"/>
  <c r="G8" i="3" s="1"/>
  <c r="G135" i="1"/>
  <c r="G136" i="1" s="1"/>
  <c r="G17" i="3" s="1"/>
  <c r="N17" i="3" s="1"/>
  <c r="G44" i="3"/>
  <c r="H34" i="1"/>
  <c r="H8" i="3" s="1"/>
  <c r="H135" i="1"/>
  <c r="H136" i="1" s="1"/>
  <c r="H17" i="3" s="1"/>
  <c r="O17" i="3" s="1"/>
  <c r="H44" i="3"/>
  <c r="I34" i="1"/>
  <c r="I8" i="3" s="1"/>
  <c r="I44" i="3"/>
  <c r="I135" i="1"/>
  <c r="I136" i="1" s="1"/>
  <c r="I17" i="3" s="1"/>
  <c r="P17" i="3" s="1"/>
  <c r="J11" i="3"/>
  <c r="Q8" i="3"/>
  <c r="P201" i="3"/>
  <c r="I65" i="3"/>
  <c r="P36" i="3"/>
  <c r="R201" i="3"/>
  <c r="K65" i="3"/>
  <c r="R36" i="3"/>
  <c r="Q38" i="3"/>
  <c r="F201" i="3"/>
  <c r="M201" i="3" s="1"/>
  <c r="F65" i="3"/>
  <c r="M36" i="3"/>
  <c r="K136" i="1"/>
  <c r="K17" i="3" s="1"/>
  <c r="R17" i="3" s="1"/>
  <c r="P204" i="3" l="1"/>
  <c r="P207" i="3"/>
  <c r="O207" i="3"/>
  <c r="O204" i="3"/>
  <c r="G89" i="3"/>
  <c r="N88" i="3" s="1"/>
  <c r="N103" i="3" s="1"/>
  <c r="N85" i="3"/>
  <c r="N204" i="3"/>
  <c r="N207" i="3"/>
  <c r="I89" i="3"/>
  <c r="P88" i="3" s="1"/>
  <c r="P103" i="3" s="1"/>
  <c r="P85" i="3"/>
  <c r="H89" i="3"/>
  <c r="O88" i="3" s="1"/>
  <c r="O103" i="3" s="1"/>
  <c r="O85" i="3"/>
  <c r="M204" i="3"/>
  <c r="F207" i="3"/>
  <c r="M207" i="3" s="1"/>
  <c r="Q204" i="3"/>
  <c r="Q207" i="3"/>
  <c r="R207" i="3"/>
  <c r="R204" i="3"/>
  <c r="I11" i="3"/>
  <c r="P8" i="3"/>
  <c r="G11" i="3"/>
  <c r="N8" i="3"/>
  <c r="M38" i="3"/>
  <c r="P38" i="3"/>
  <c r="H56" i="3"/>
  <c r="O44" i="3"/>
  <c r="O46" i="3" s="1"/>
  <c r="F11" i="3"/>
  <c r="M8" i="3"/>
  <c r="Q55" i="3"/>
  <c r="J59" i="3"/>
  <c r="H11" i="3"/>
  <c r="O8" i="3"/>
  <c r="O38" i="3"/>
  <c r="M44" i="3"/>
  <c r="F56" i="3"/>
  <c r="J14" i="3"/>
  <c r="Q14" i="3" s="1"/>
  <c r="J51" i="3"/>
  <c r="Q11" i="3"/>
  <c r="K56" i="3"/>
  <c r="R44" i="3"/>
  <c r="R46" i="3" s="1"/>
  <c r="R38" i="3"/>
  <c r="G56" i="3"/>
  <c r="N44" i="3"/>
  <c r="N46" i="3" s="1"/>
  <c r="I56" i="3"/>
  <c r="P44" i="3"/>
  <c r="P46" i="3" s="1"/>
  <c r="N38" i="3"/>
  <c r="K11" i="3"/>
  <c r="R8" i="3"/>
  <c r="J64" i="3" l="1"/>
  <c r="Q177" i="3"/>
  <c r="Q186" i="3" s="1"/>
  <c r="Q187" i="3" s="1"/>
  <c r="J58" i="3"/>
  <c r="Q51" i="3"/>
  <c r="Q53" i="3" s="1"/>
  <c r="F59" i="3"/>
  <c r="M55" i="3"/>
  <c r="I59" i="3"/>
  <c r="P55" i="3"/>
  <c r="K59" i="3"/>
  <c r="R55" i="3"/>
  <c r="H59" i="3"/>
  <c r="O55" i="3"/>
  <c r="G14" i="3"/>
  <c r="N14" i="3" s="1"/>
  <c r="G51" i="3"/>
  <c r="N11" i="3"/>
  <c r="H51" i="3"/>
  <c r="H14" i="3"/>
  <c r="O14" i="3" s="1"/>
  <c r="O11" i="3"/>
  <c r="M46" i="3"/>
  <c r="I51" i="3"/>
  <c r="I14" i="3"/>
  <c r="P14" i="3" s="1"/>
  <c r="P11" i="3"/>
  <c r="K14" i="3"/>
  <c r="R14" i="3" s="1"/>
  <c r="K51" i="3"/>
  <c r="R11" i="3"/>
  <c r="G59" i="3"/>
  <c r="N55" i="3"/>
  <c r="F14" i="3"/>
  <c r="M14" i="3" s="1"/>
  <c r="F51" i="3"/>
  <c r="M11" i="3"/>
  <c r="Q198" i="3" l="1"/>
  <c r="Q64" i="3"/>
  <c r="I64" i="3"/>
  <c r="N58" i="3"/>
  <c r="G64" i="3"/>
  <c r="R177" i="3"/>
  <c r="R186" i="3" s="1"/>
  <c r="R187" i="3" s="1"/>
  <c r="K58" i="3"/>
  <c r="R51" i="3"/>
  <c r="R53" i="3" s="1"/>
  <c r="F58" i="3"/>
  <c r="F195" i="3" s="1"/>
  <c r="M177" i="3"/>
  <c r="M186" i="3" s="1"/>
  <c r="M187" i="3" s="1"/>
  <c r="M51" i="3"/>
  <c r="M53" i="3" s="1"/>
  <c r="K64" i="3"/>
  <c r="Q58" i="3"/>
  <c r="G58" i="3"/>
  <c r="N177" i="3"/>
  <c r="N186" i="3" s="1"/>
  <c r="N187" i="3" s="1"/>
  <c r="N51" i="3"/>
  <c r="N53" i="3" s="1"/>
  <c r="O177" i="3"/>
  <c r="O186" i="3" s="1"/>
  <c r="O187" i="3" s="1"/>
  <c r="H58" i="3"/>
  <c r="O51" i="3"/>
  <c r="O53" i="3" s="1"/>
  <c r="H64" i="3"/>
  <c r="P177" i="3"/>
  <c r="P186" i="3" s="1"/>
  <c r="P187" i="3" s="1"/>
  <c r="I58" i="3"/>
  <c r="P51" i="3"/>
  <c r="P53" i="3" s="1"/>
  <c r="Q195" i="3"/>
  <c r="O58" i="3" l="1"/>
  <c r="P195" i="3"/>
  <c r="P58" i="3"/>
  <c r="P198" i="3"/>
  <c r="P210" i="3" s="1"/>
  <c r="P211" i="3" s="1"/>
  <c r="P64" i="3"/>
  <c r="M58" i="3"/>
  <c r="M198" i="3"/>
  <c r="M64" i="3"/>
  <c r="O198" i="3"/>
  <c r="O64" i="3"/>
  <c r="R198" i="3"/>
  <c r="R64" i="3"/>
  <c r="N198" i="3"/>
  <c r="N64" i="3"/>
  <c r="M195" i="3"/>
  <c r="R195" i="3"/>
  <c r="R210" i="3" s="1"/>
  <c r="R211" i="3" s="1"/>
  <c r="Q210" i="3"/>
  <c r="Q211" i="3" s="1"/>
  <c r="O195" i="3"/>
  <c r="R58" i="3"/>
  <c r="N195" i="3"/>
  <c r="N210" i="3" l="1"/>
  <c r="N211" i="3" s="1"/>
  <c r="M210" i="3"/>
  <c r="M211" i="3" s="1"/>
  <c r="O210" i="3"/>
  <c r="O21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C8AE09-0E8C-404C-B15B-0330A57ED26C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09a3b508-4af1-45c5-b29a-741d4ad7ae6f"/>
      </ext>
    </extLst>
  </connection>
  <connection id="2" xr16:uid="{AD20CAF6-1651-429F-B198-ECD5A714D246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8f49710e-0270-4a4a-af83-8b72d3eb04bb"/>
      </ext>
    </extLst>
  </connection>
  <connection id="3" xr16:uid="{D90D7A59-F386-4BDE-9C1F-AEE4F27F4424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d59774ce-450d-44af-b82b-3e8d34e4607a"/>
      </ext>
    </extLst>
  </connection>
  <connection id="4" xr16:uid="{97BD3BD4-566D-4ECD-8668-8FAAC29B27EB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9dd0e016-940d-4af3-8285-98cf5a2a6f53"/>
      </ext>
    </extLst>
  </connection>
  <connection id="5" xr16:uid="{2A6482D8-CAA6-41FF-B73B-3E450B9170D4}" name="Query - Page005" description="Connection to the 'Page005' query in the workbook." type="100" refreshedVersion="8" minRefreshableVersion="5">
    <extLst>
      <ext xmlns:x15="http://schemas.microsoft.com/office/spreadsheetml/2010/11/main" uri="{DE250136-89BD-433C-8126-D09CA5730AF9}">
        <x15:connection id="713cd23b-711f-4427-acae-374653b4ca28"/>
      </ext>
    </extLst>
  </connection>
  <connection id="6" xr16:uid="{CACDD58F-C4D3-4FF3-8B3B-6390EAD91639}" keepAlive="1" name="Query - Table868 (Page 280)" description="Connection to the 'Table868 (Page 280)' query in the workbook." type="5" refreshedVersion="0" background="1">
    <dbPr connection="Provider=Microsoft.Mashup.OleDb.1;Data Source=$Workbook$;Location=&quot;Table868 (Page 280)&quot;;Extended Properties=&quot;&quot;" command="SELECT * FROM [Table868 (Page 280)]"/>
  </connection>
  <connection id="7" xr16:uid="{38075E8F-BA7C-42BD-A395-6E07154E82B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<sst xmlns="http://schemas.openxmlformats.org/spreadsheetml/2006/main" count="523" uniqueCount="228">
  <si>
    <t>INCOME STATEMENT</t>
  </si>
  <si>
    <t>Net revenues</t>
  </si>
  <si>
    <t>Cost of sales</t>
  </si>
  <si>
    <t>Gross profit</t>
  </si>
  <si>
    <t>SG&amp;A</t>
  </si>
  <si>
    <t>R&amp;D</t>
  </si>
  <si>
    <t>EBITDA</t>
  </si>
  <si>
    <t>EBIT</t>
  </si>
  <si>
    <t>Interest Expense</t>
  </si>
  <si>
    <t>Interest Income</t>
  </si>
  <si>
    <t>EBT</t>
  </si>
  <si>
    <t>Provision for Taxes</t>
  </si>
  <si>
    <t>Net Income</t>
  </si>
  <si>
    <t>Depreciation</t>
  </si>
  <si>
    <t>Other expenses, net</t>
  </si>
  <si>
    <t>Result from investments</t>
  </si>
  <si>
    <t>All figures in EUR thousand</t>
  </si>
  <si>
    <t>Cash From Operating</t>
  </si>
  <si>
    <t>Net profit</t>
  </si>
  <si>
    <t>Income tax expense</t>
  </si>
  <si>
    <t>Amortization and depreciation</t>
  </si>
  <si>
    <t>Net Finance costs / (income)</t>
  </si>
  <si>
    <t>Other non-cash &amp; working capital changes</t>
  </si>
  <si>
    <t>Income tax paid</t>
  </si>
  <si>
    <t>Subtotal</t>
  </si>
  <si>
    <t>Cash From Invisting</t>
  </si>
  <si>
    <t>Investments in property, plant and equipment (CapEx PPE)</t>
  </si>
  <si>
    <t>Investments in intangible assets (CapEx Intangibles)</t>
  </si>
  <si>
    <t>Other investing proceeds / (investments)</t>
  </si>
  <si>
    <t>Cash From Financing</t>
  </si>
  <si>
    <t>Dividends paid to owners and non-controlling</t>
  </si>
  <si>
    <t>Share repurchases</t>
  </si>
  <si>
    <t>Net change in borrowings, notes, securitizations &amp; leases</t>
  </si>
  <si>
    <t>CASH BALANCE</t>
  </si>
  <si>
    <t>Beginning of the year</t>
  </si>
  <si>
    <t xml:space="preserve">Increase / (Decrease) </t>
  </si>
  <si>
    <t>END of the year</t>
  </si>
  <si>
    <t>Effect of exchange rate changes</t>
  </si>
  <si>
    <t>Non-Current Assets</t>
  </si>
  <si>
    <t>Goodwill</t>
  </si>
  <si>
    <t>Intangible assets</t>
  </si>
  <si>
    <t>Property, plant and equipment</t>
  </si>
  <si>
    <t>Investments and other financial assets</t>
  </si>
  <si>
    <t>Deferred tax assets</t>
  </si>
  <si>
    <t>Total Non-Current Assets</t>
  </si>
  <si>
    <t>Current Assets</t>
  </si>
  <si>
    <t>Inventories</t>
  </si>
  <si>
    <t>Trade receivables</t>
  </si>
  <si>
    <t>Receivables from financing activities</t>
  </si>
  <si>
    <t>Current tax receivables</t>
  </si>
  <si>
    <t>Other current assets</t>
  </si>
  <si>
    <t>Current financial assets</t>
  </si>
  <si>
    <t>Cash and cash equivalents</t>
  </si>
  <si>
    <t>Total Current Assets</t>
  </si>
  <si>
    <t>Total Assets</t>
  </si>
  <si>
    <t>ASSETS</t>
  </si>
  <si>
    <t>EQUITY</t>
  </si>
  <si>
    <t>Equity attributable to owners of the parent</t>
  </si>
  <si>
    <t>Non-controlling interests</t>
  </si>
  <si>
    <t>Total Equity</t>
  </si>
  <si>
    <t>LIABILITIES</t>
  </si>
  <si>
    <t>STATEMENT OF FINANCIAL POSITION</t>
  </si>
  <si>
    <t>STATEMENT OF CASH FLOWS</t>
  </si>
  <si>
    <t>Amortization</t>
  </si>
  <si>
    <t xml:space="preserve"> </t>
  </si>
  <si>
    <t>Deferred tax liabilities</t>
  </si>
  <si>
    <t>Current Liabilities</t>
  </si>
  <si>
    <t>Trade payables</t>
  </si>
  <si>
    <t>Current tax payables</t>
  </si>
  <si>
    <t>Other financial liabilities</t>
  </si>
  <si>
    <t>Total  Liabilities</t>
  </si>
  <si>
    <t>Total Equity &amp; Liabilities</t>
  </si>
  <si>
    <t>Employee benefits</t>
  </si>
  <si>
    <t>Provisions</t>
  </si>
  <si>
    <t>Current debt</t>
  </si>
  <si>
    <t>Non-Current debt</t>
  </si>
  <si>
    <t xml:space="preserve"> Other liabilities</t>
  </si>
  <si>
    <t>Other Financial Information</t>
  </si>
  <si>
    <t>Balance Check</t>
  </si>
  <si>
    <t>balance Check</t>
  </si>
  <si>
    <t>NET OPERATING PROFIT AFTER TAX</t>
  </si>
  <si>
    <t>Effective Tax Rate</t>
  </si>
  <si>
    <t>NOPAT</t>
  </si>
  <si>
    <t>INVESTED CAPITAL</t>
  </si>
  <si>
    <t>Interest Bearing Current Liabilities</t>
  </si>
  <si>
    <t>Interest Bearing Long Term Liabilities</t>
  </si>
  <si>
    <t>Total Interest Bearing Liabilities</t>
  </si>
  <si>
    <t>Cash</t>
  </si>
  <si>
    <t>Net Debt</t>
  </si>
  <si>
    <t>Equity</t>
  </si>
  <si>
    <t>Invested Capital (aka Capital Employed)</t>
  </si>
  <si>
    <t>NET ASSETS</t>
  </si>
  <si>
    <t>Long Term Assets</t>
  </si>
  <si>
    <t>Non Interest Bearing Current Liabilities</t>
  </si>
  <si>
    <t>Net Assets</t>
  </si>
  <si>
    <t>Profitability and Return Ratios</t>
  </si>
  <si>
    <t>Return on Equity</t>
  </si>
  <si>
    <t>=</t>
  </si>
  <si>
    <t>Return on Assets</t>
  </si>
  <si>
    <t>Return on Net Assets</t>
  </si>
  <si>
    <t>PP&amp;E plus Net Working Capital</t>
  </si>
  <si>
    <t>Return on Invested Capital</t>
  </si>
  <si>
    <t>Invested Capital</t>
  </si>
  <si>
    <t>Gross Margin</t>
  </si>
  <si>
    <t>Gross Profit</t>
  </si>
  <si>
    <t>SG&amp;A % of Revenue</t>
  </si>
  <si>
    <t>Other Operating Expenses % of Revenue</t>
  </si>
  <si>
    <t>Other Operating Expenses</t>
  </si>
  <si>
    <t>EBITDA Margin</t>
  </si>
  <si>
    <t>Check</t>
  </si>
  <si>
    <t>Depreciation % of Revenue</t>
  </si>
  <si>
    <t>EBIT Margin</t>
  </si>
  <si>
    <t>Other Non Operating Expense % of Revenue</t>
  </si>
  <si>
    <t>Other Non Operating Expenses</t>
  </si>
  <si>
    <t>EBT Margin</t>
  </si>
  <si>
    <t>Earning Before Tax</t>
  </si>
  <si>
    <t>Tax % of Revenue</t>
  </si>
  <si>
    <t>Tax</t>
  </si>
  <si>
    <t>Net Profit Margin</t>
  </si>
  <si>
    <t>Revenue</t>
  </si>
  <si>
    <t>Tax Burden</t>
  </si>
  <si>
    <t>Effective Interest Rate</t>
  </si>
  <si>
    <t>Interest Burden</t>
  </si>
  <si>
    <t>Asset Utilization Ratios</t>
  </si>
  <si>
    <t>Asset Turnover</t>
  </si>
  <si>
    <t>PPE Turnover</t>
  </si>
  <si>
    <t>PPE</t>
  </si>
  <si>
    <t>Cash Turnover</t>
  </si>
  <si>
    <t>Cash Days</t>
  </si>
  <si>
    <t>Cash x 365</t>
  </si>
  <si>
    <t>A/R Turnover</t>
  </si>
  <si>
    <t>Accounts Receivable</t>
  </si>
  <si>
    <t>A/R Days</t>
  </si>
  <si>
    <t>Accounts Receivable x 365</t>
  </si>
  <si>
    <t>Inventory Turnover</t>
  </si>
  <si>
    <t>Inventory</t>
  </si>
  <si>
    <t>Inventory Days</t>
  </si>
  <si>
    <t>Inventory x 365</t>
  </si>
  <si>
    <t>A/P Turnover</t>
  </si>
  <si>
    <t>COGS</t>
  </si>
  <si>
    <t>Accounts Payable</t>
  </si>
  <si>
    <t>A/P Days</t>
  </si>
  <si>
    <t>Accounts Payable x 365</t>
  </si>
  <si>
    <t>Cash Conversion Cycle / WC Funding Gap</t>
  </si>
  <si>
    <t>AR Days + Inventory Days - AP Days</t>
  </si>
  <si>
    <t>Leverage Ratios</t>
  </si>
  <si>
    <t>Total Asset to Equity</t>
  </si>
  <si>
    <t>Total Liabilities to Equity</t>
  </si>
  <si>
    <t>Total Liabilities</t>
  </si>
  <si>
    <t>Debt to Equity</t>
  </si>
  <si>
    <t>Interest Bearing Liabilities Only</t>
  </si>
  <si>
    <t>Debt to EBITDA</t>
  </si>
  <si>
    <t>Net Debt to EBITDA</t>
  </si>
  <si>
    <t>Interest Bearing Liabilities - Cash</t>
  </si>
  <si>
    <t>Liquidity Ratios</t>
  </si>
  <si>
    <t>Current</t>
  </si>
  <si>
    <t>Quick</t>
  </si>
  <si>
    <t>Current Assets - Inventory</t>
  </si>
  <si>
    <t>Interest Coverage</t>
  </si>
  <si>
    <t>Growth Trends</t>
  </si>
  <si>
    <t>Revenue Growth</t>
  </si>
  <si>
    <t>Change in Revenues</t>
  </si>
  <si>
    <t>Prior Year Revenues</t>
  </si>
  <si>
    <t>EBITDA Growth</t>
  </si>
  <si>
    <t>Change in EBITDA</t>
  </si>
  <si>
    <t>Prior Year EBITDA</t>
  </si>
  <si>
    <t>EBIT Growth</t>
  </si>
  <si>
    <t>Change in EBIT</t>
  </si>
  <si>
    <t>Prior Year EBIT</t>
  </si>
  <si>
    <t>Net Income Growth</t>
  </si>
  <si>
    <t>Change in Net Income</t>
  </si>
  <si>
    <t>Prior Year Net Income</t>
  </si>
  <si>
    <t>Total Asset Growth</t>
  </si>
  <si>
    <t>Change in Total Assets</t>
  </si>
  <si>
    <t>Prior Year Total Assets</t>
  </si>
  <si>
    <t>Degree of Operating Leverage</t>
  </si>
  <si>
    <t xml:space="preserve"> Percentage Change in EBIT</t>
  </si>
  <si>
    <t>Percentage Change in Revenue</t>
  </si>
  <si>
    <t>Degree of Financial Leverage</t>
  </si>
  <si>
    <t>Percentage Change in Net Income</t>
  </si>
  <si>
    <t>Percentage Change in EBIT</t>
  </si>
  <si>
    <t>Degree of Total Leverage</t>
  </si>
  <si>
    <t>DuPont Pyramid 3 Step Check</t>
  </si>
  <si>
    <t>Total Assets to Equity</t>
  </si>
  <si>
    <t>Equals Return on Equity</t>
  </si>
  <si>
    <t>Net Profit Margin x Asset Turn x Asset to Equity</t>
  </si>
  <si>
    <t>DuPont Pyramid 5 Step Check</t>
  </si>
  <si>
    <t>Tax Burden x Interest Burden x EBIT Margin</t>
  </si>
  <si>
    <t>x Asset Turn x Asset to Equity</t>
  </si>
  <si>
    <t>Currunt Liabilities</t>
  </si>
  <si>
    <t>Working Capital Analysis</t>
  </si>
  <si>
    <t>Leverage Analysis</t>
  </si>
  <si>
    <t>Growth Analysis</t>
  </si>
  <si>
    <t>by/ m.salama</t>
  </si>
  <si>
    <t>6-Year Historical Performance (2020 – 2025) under IFRS &amp; CFI Valuation Standards</t>
  </si>
  <si>
    <t>Financial Statements (Standardized 3-Statement Model)</t>
  </si>
  <si>
    <t>Ratio Calculations (Liquidity, Turnover &amp; Leverage Ratios)</t>
  </si>
  <si>
    <t>3-Step DuPont Pyramid (ROE Deconstruction)</t>
  </si>
  <si>
    <t>5-Step DuPont Pyramid (Extended Operating &amp; Burden Analysis)</t>
  </si>
  <si>
    <t>TABLE OF CONTENTS</t>
  </si>
  <si>
    <t>ANALYST PROFILE</t>
  </si>
  <si>
    <t>LinkedIn:</t>
  </si>
  <si>
    <t>https://www.linkedin.com/in/m-salama1996/</t>
  </si>
  <si>
    <t>KEY MODELING HIGHLIGHTS &amp; OFFICIAL TIE-OUTS</t>
  </si>
  <si>
    <t>Full Alignment with Official 2025 Results: The model achieves exact consistency with Ferrari’s FY 2025 Investor Presentation:</t>
  </si>
  <si>
    <t>Net Revenues: €7.15B vs. €7.1B reported (+7.0% YoY Growth).</t>
  </si>
  <si>
    <t>Financial Analysis &amp; DuPont Modeling | 2020 – 2025</t>
  </si>
  <si>
    <r>
      <t xml:space="preserve">Prepared By: </t>
    </r>
    <r>
      <rPr>
        <b/>
        <sz val="11"/>
        <color theme="1"/>
        <rFont val="Gill Sans Nova Light"/>
        <family val="2"/>
      </rPr>
      <t>Mohamed Slama</t>
    </r>
  </si>
  <si>
    <r>
      <t xml:space="preserve">Framework: </t>
    </r>
    <r>
      <rPr>
        <b/>
        <sz val="11"/>
        <color theme="1"/>
        <rFont val="Gill Sans Nova Light"/>
        <family val="2"/>
      </rPr>
      <t>Corporate Finance Institute (CFI) Standards</t>
    </r>
  </si>
  <si>
    <r>
      <t xml:space="preserve">Completion Date: </t>
    </r>
    <r>
      <rPr>
        <b/>
        <sz val="11"/>
        <color theme="1"/>
        <rFont val="Gill Sans Nova Light"/>
        <family val="2"/>
      </rPr>
      <t>October 2026</t>
    </r>
  </si>
  <si>
    <r>
      <rPr>
        <b/>
        <sz val="11"/>
        <color theme="1"/>
        <rFont val="Gill Sans Nova Light"/>
        <family val="2"/>
      </rPr>
      <t>Debt Structure &amp; Capital Segmentation:</t>
    </r>
    <r>
      <rPr>
        <sz val="11"/>
        <color theme="1"/>
        <rFont val="Gill Sans Nova Light"/>
        <family val="2"/>
      </rPr>
      <t xml:space="preserve"> Disaggregated interest-bearing liabilities into short-term borrowings and long-term debt (via Notes 24 &amp; 27), enabling a precise reconciliation between Invested Capital and Net Operating Assets while perfectly matching Ferrari's reported Net Debt.   </t>
    </r>
  </si>
  <si>
    <r>
      <t xml:space="preserve">EBITDA: €2.77B at an exact </t>
    </r>
    <r>
      <rPr>
        <b/>
        <sz val="11"/>
        <color theme="1"/>
        <rFont val="Gill Sans Nova Light"/>
        <family val="2"/>
      </rPr>
      <t>38.8% margin</t>
    </r>
    <r>
      <rPr>
        <sz val="11"/>
        <color theme="1"/>
        <rFont val="Gill Sans Nova Light"/>
        <family val="2"/>
      </rPr>
      <t>.</t>
    </r>
  </si>
  <si>
    <r>
      <t xml:space="preserve">Leverage: Net Debt to EBITDA reduced to </t>
    </r>
    <r>
      <rPr>
        <b/>
        <sz val="11"/>
        <color theme="1"/>
        <rFont val="Gill Sans Nova Light"/>
        <family val="2"/>
      </rPr>
      <t>0.5x</t>
    </r>
    <r>
      <rPr>
        <sz val="11"/>
        <color theme="1"/>
        <rFont val="Gill Sans Nova Light"/>
        <family val="2"/>
      </rPr>
      <t>, perfectly matching disclosed leverage trends.</t>
    </r>
  </si>
  <si>
    <t>Ferrari N.V. (NYSE/EXM: RACE) — 3-Statement Financial Analysis &amp; DuPont Analysis</t>
  </si>
  <si>
    <r>
      <rPr>
        <b/>
        <sz val="11"/>
        <color theme="1"/>
        <rFont val="Gill Sans Nova Light"/>
        <family val="2"/>
      </rPr>
      <t>Depreciation &amp; Amortization Isolation</t>
    </r>
    <r>
      <rPr>
        <sz val="11"/>
        <color theme="1"/>
        <rFont val="Gill Sans Nova Light"/>
        <family val="2"/>
      </rPr>
      <t>: Separated non-cash industrial depreciation from COGS and R&amp;D according to Note disclosures, isolating cash gross profit and establishing an exact EBITDA tie-out.</t>
    </r>
  </si>
  <si>
    <r>
      <t>Negative Cash Conversion Cycle (CCC):</t>
    </r>
    <r>
      <rPr>
        <sz val="11"/>
        <color theme="1"/>
        <rFont val="Calibri"/>
        <family val="2"/>
        <scheme val="minor"/>
      </rPr>
      <t xml:space="preserve"> Identified and modeled Ferrari’s luxury operational working capital dynamics, sustaining negative to ultra-lean cash cycles driven by dealer prepayments and extended payable windows.</t>
    </r>
  </si>
  <si>
    <t>Project Roadmap (Next Phases):</t>
  </si>
  <si>
    <r>
      <t>Phase 1 (Completed):</t>
    </r>
    <r>
      <rPr>
        <sz val="11"/>
        <color theme="1"/>
        <rFont val="Calibri"/>
        <family val="2"/>
        <scheme val="minor"/>
      </rPr>
      <t xml:space="preserve"> Ferrari N.V. Standalone In-depth Financial Model &amp; DuPont Pyramid.</t>
    </r>
  </si>
  <si>
    <r>
      <t>Phase 2 (In-Progress):</t>
    </r>
    <r>
      <rPr>
        <sz val="11"/>
        <color theme="1"/>
        <rFont val="Calibri"/>
        <family val="2"/>
        <scheme val="minor"/>
      </rPr>
      <t xml:space="preserve"> Peer Group Benchmarking against Luxury &amp; Ultra-Luxury Automakers (Porsche AG, Aston Martin Lagonda).</t>
    </r>
  </si>
  <si>
    <r>
      <t>Phase 3 (Upcoming):</t>
    </r>
    <r>
      <rPr>
        <sz val="11"/>
        <color theme="1"/>
        <rFont val="Calibri"/>
        <family val="2"/>
        <scheme val="minor"/>
      </rPr>
      <t xml:space="preserve"> Integrated DCF (Discounted Cash Flow) Valuation Model based on midterm corporate guidance.</t>
    </r>
  </si>
  <si>
    <t>Average</t>
  </si>
  <si>
    <t>Charts</t>
  </si>
  <si>
    <t>Cash Conversion Cycle</t>
  </si>
  <si>
    <t>Asset Utilization Ratios Charts</t>
  </si>
  <si>
    <t>Profitability</t>
  </si>
  <si>
    <t>Utilization</t>
  </si>
  <si>
    <t>Leverage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</si>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</sst>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;\(#,##0\);&quot;-&quot;;@"/>
    <numFmt numFmtId="165" formatCode="_-* #,##0.00_-;\-* #,##0.00_-;_-* &quot;-&quot;??_-;_-@_-"/>
    <numFmt numFmtId="166" formatCode="0&quot;A&quot;"/>
    <numFmt numFmtId="167" formatCode="_(#,##0_)_%;\(#,##0\)_%;_(&quot;–&quot;_)_%;_(@_)_%"/>
    <numFmt numFmtId="168" formatCode="0.0%"/>
    <numFmt numFmtId="169" formatCode="&quot;Year&quot;\ 0"/>
    <numFmt numFmtId="170" formatCode="0&quot;F&quot;"/>
    <numFmt numFmtId="171" formatCode="#,##0_);\(#,##0\);\-"/>
    <numFmt numFmtId="172" formatCode="0.00%;\(0.00%\);\-"/>
    <numFmt numFmtId="173" formatCode="0.00%;[Red]\(0.00%\);\-"/>
    <numFmt numFmtId="174" formatCode="_(0.00\x_);\(0.00\x\);_(&quot;–&quot;_);_(@_)"/>
    <numFmt numFmtId="175" formatCode="_(0.0_)&quot;days&quot;;\(0.0\)&quot;days&quot;;_(&quot;–&quot;_);_(@_)"/>
    <numFmt numFmtId="176" formatCode="_(#,##0_);\(#,##0\);_(&quot;–&quot;_);_(@_)"/>
  </numFmts>
  <fonts count="6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theme="1"/>
      <name val="Gill Sans Nova"/>
      <family val="2"/>
    </font>
    <font>
      <sz val="11"/>
      <color rgb="FFFF0000"/>
      <name val="Gill Sans Nova"/>
      <family val="2"/>
    </font>
    <font>
      <sz val="11"/>
      <color theme="1"/>
      <name val="Gill Sans Nova"/>
      <family val="2"/>
    </font>
    <font>
      <b/>
      <sz val="22"/>
      <color theme="1" tint="4.9989318521683403E-2"/>
      <name val="Gill Sans Nova"/>
      <family val="2"/>
    </font>
    <font>
      <b/>
      <sz val="11"/>
      <color theme="1"/>
      <name val="Gill Sans Nova"/>
      <family val="2"/>
    </font>
    <font>
      <b/>
      <sz val="11"/>
      <color rgb="FF0070C0"/>
      <name val="Gill Sans Nova"/>
      <family val="2"/>
    </font>
    <font>
      <sz val="10"/>
      <color rgb="FF000000"/>
      <name val="Gill Sans Nova"/>
      <family val="2"/>
    </font>
    <font>
      <b/>
      <sz val="10"/>
      <color rgb="FF000000"/>
      <name val="Gill Sans Nova"/>
      <family val="2"/>
    </font>
    <font>
      <sz val="11"/>
      <color rgb="FF000000"/>
      <name val="Gill Sans Nova"/>
      <family val="2"/>
    </font>
    <font>
      <b/>
      <sz val="11"/>
      <color rgb="FF000000"/>
      <name val="Gill Sans Nova"/>
      <family val="2"/>
    </font>
    <font>
      <sz val="11"/>
      <color theme="1"/>
      <name val="Calibri"/>
      <family val="2"/>
      <scheme val="minor"/>
    </font>
    <font>
      <b/>
      <sz val="12"/>
      <color theme="1"/>
      <name val="Gill Sans Nova"/>
      <family val="2"/>
    </font>
    <font>
      <sz val="12"/>
      <color theme="1"/>
      <name val="Gill Sans Nova"/>
      <family val="2"/>
    </font>
    <font>
      <sz val="10"/>
      <name val="Bookman"/>
      <family val="1"/>
    </font>
    <font>
      <u/>
      <sz val="11"/>
      <color theme="10"/>
      <name val="Arial Narrow"/>
      <family val="2"/>
    </font>
    <font>
      <u/>
      <sz val="10"/>
      <color theme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sz val="10"/>
      <color theme="1"/>
      <name val="Open Sans"/>
      <family val="2"/>
    </font>
    <font>
      <i/>
      <sz val="9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sz val="10"/>
      <color theme="0"/>
      <name val="Open Sans"/>
      <family val="2"/>
    </font>
    <font>
      <b/>
      <sz val="14"/>
      <color rgb="FF0000FF"/>
      <name val="Open Sans"/>
      <family val="2"/>
    </font>
    <font>
      <sz val="14"/>
      <color theme="1"/>
      <name val="Open Sans"/>
      <family val="2"/>
    </font>
    <font>
      <b/>
      <sz val="10"/>
      <color rgb="FFFA621C"/>
      <name val="Open Sans"/>
      <family val="2"/>
    </font>
    <font>
      <b/>
      <sz val="10"/>
      <color rgb="FF000000"/>
      <name val="Open Sans"/>
      <family val="2"/>
    </font>
    <font>
      <sz val="11"/>
      <color theme="1"/>
      <name val="Open Sans"/>
      <family val="2"/>
    </font>
    <font>
      <sz val="10"/>
      <name val="Arial"/>
      <family val="2"/>
    </font>
    <font>
      <sz val="10"/>
      <color rgb="FF000000"/>
      <name val="Open Sans"/>
      <family val="2"/>
    </font>
    <font>
      <sz val="10"/>
      <color rgb="FF3271D2"/>
      <name val="Open Sans"/>
      <family val="2"/>
    </font>
    <font>
      <sz val="11"/>
      <name val="Open Sans"/>
      <family val="2"/>
    </font>
    <font>
      <sz val="9"/>
      <name val="Open Sans"/>
      <family val="2"/>
    </font>
    <font>
      <i/>
      <sz val="8"/>
      <name val="Open Sans"/>
      <family val="2"/>
    </font>
    <font>
      <sz val="10"/>
      <color rgb="FFFF0000"/>
      <name val="Open Sans"/>
      <family val="2"/>
    </font>
    <font>
      <b/>
      <sz val="15"/>
      <color rgb="FF940606"/>
      <name val="Calibri"/>
      <family val="2"/>
      <scheme val="minor"/>
    </font>
    <font>
      <sz val="10"/>
      <color rgb="FF0000FF"/>
      <name val="Gill Sans Nova"/>
      <family val="2"/>
    </font>
    <font>
      <b/>
      <sz val="10"/>
      <name val="Gill Sans Nova"/>
      <family val="2"/>
    </font>
    <font>
      <sz val="10"/>
      <color theme="1"/>
      <name val="Gill Sans Nova"/>
      <family val="2"/>
    </font>
    <font>
      <sz val="10"/>
      <name val="Gill Sans Nova"/>
      <family val="2"/>
    </font>
    <font>
      <i/>
      <sz val="10"/>
      <name val="Gill Sans Nova"/>
      <family val="2"/>
    </font>
    <font>
      <b/>
      <sz val="10"/>
      <color theme="1"/>
      <name val="Open Sans"/>
      <family val="2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color theme="1"/>
      <name val="Gill Sans Nova Light"/>
      <family val="2"/>
    </font>
    <font>
      <b/>
      <sz val="11"/>
      <color theme="1"/>
      <name val="Gill Sans Nova Light"/>
      <family val="2"/>
    </font>
    <font>
      <b/>
      <sz val="26"/>
      <color rgb="FFC00000"/>
      <name val="Gill Sans Nova"/>
      <family val="2"/>
    </font>
    <font>
      <sz val="18"/>
      <color theme="0" tint="-0.499984740745262"/>
      <name val="Gill Sans Nova"/>
      <family val="2"/>
    </font>
    <font>
      <u/>
      <sz val="14"/>
      <color theme="10"/>
      <name val="Arial Narrow"/>
      <family val="2"/>
    </font>
    <font>
      <b/>
      <sz val="14"/>
      <color theme="1"/>
      <name val="Gill Sans Nova"/>
      <family val="2"/>
    </font>
    <font>
      <b/>
      <sz val="16"/>
      <color theme="1"/>
      <name val="Gill Sans Nova Light"/>
      <family val="2"/>
    </font>
    <font>
      <b/>
      <sz val="20"/>
      <color theme="0"/>
      <name val="Gill Sans Nova"/>
      <family val="2"/>
    </font>
    <font>
      <sz val="11"/>
      <color rgb="FF0070C0"/>
      <name val="Gill Sans Nova Light"/>
      <family val="2"/>
    </font>
    <font>
      <b/>
      <sz val="10"/>
      <name val="Open Sans"/>
    </font>
    <font>
      <sz val="10"/>
      <name val="Open Sans"/>
    </font>
    <font>
      <sz val="11"/>
      <name val="Open Sans"/>
    </font>
    <font>
      <b/>
      <u/>
      <sz val="12"/>
      <color theme="10"/>
      <name val="Calibri"/>
      <family val="2"/>
      <scheme val="minor"/>
    </font>
    <font>
      <b/>
      <sz val="12"/>
      <color theme="1"/>
      <name val="Gill Sans Nova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rgb="FFC00000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</borders>
  <cellStyleXfs count="11">
    <xf numFmtId="0" fontId="0" fillId="0" borderId="0"/>
    <xf numFmtId="0" fontId="1" fillId="0" borderId="1" applyNumberFormat="0" applyFill="0" applyAlignment="0" applyProtection="0"/>
    <xf numFmtId="165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2" fillId="0" borderId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9" fontId="12" fillId="0" borderId="0" applyFont="0" applyFill="0" applyBorder="0" applyAlignment="0" applyProtection="0"/>
    <xf numFmtId="0" fontId="31" fillId="0" borderId="0"/>
    <xf numFmtId="0" fontId="38" fillId="3" borderId="10"/>
    <xf numFmtId="0" fontId="45" fillId="0" borderId="0" applyNumberFormat="0" applyFill="0" applyBorder="0" applyAlignment="0" applyProtection="0"/>
  </cellStyleXfs>
  <cellXfs count="180">
    <xf numFmtId="0" fontId="0" fillId="0" borderId="0" xfId="0"/>
    <xf numFmtId="0" fontId="56" fillId="0" borderId="0" xfId="8" applyFont="1"/>
    <xf numFmtId="0" fontId="57" fillId="0" borderId="0" xfId="8" applyFont="1" applyAlignment="1">
      <alignment horizontal="left" indent="1"/>
    </xf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2" borderId="0" xfId="0" applyFont="1" applyFill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left" indent="1"/>
    </xf>
    <xf numFmtId="0" fontId="9" fillId="0" borderId="0" xfId="0" applyFont="1" applyAlignment="1">
      <alignment horizontal="left" indent="1"/>
    </xf>
    <xf numFmtId="0" fontId="7" fillId="0" borderId="2" xfId="1" applyFont="1" applyBorder="1"/>
    <xf numFmtId="0" fontId="7" fillId="0" borderId="2" xfId="0" applyFont="1" applyBorder="1"/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4" fontId="4" fillId="0" borderId="0" xfId="0" applyNumberFormat="1" applyFont="1"/>
    <xf numFmtId="0" fontId="8" fillId="0" borderId="0" xfId="0" applyFont="1"/>
    <xf numFmtId="0" fontId="4" fillId="0" borderId="3" xfId="0" applyFont="1" applyBorder="1"/>
    <xf numFmtId="0" fontId="13" fillId="0" borderId="0" xfId="0" applyFont="1"/>
    <xf numFmtId="0" fontId="14" fillId="0" borderId="0" xfId="0" applyFont="1"/>
    <xf numFmtId="164" fontId="4" fillId="0" borderId="3" xfId="0" applyNumberFormat="1" applyFont="1" applyBorder="1"/>
    <xf numFmtId="164" fontId="4" fillId="0" borderId="4" xfId="0" applyNumberFormat="1" applyFont="1" applyBorder="1"/>
    <xf numFmtId="3" fontId="4" fillId="0" borderId="0" xfId="0" applyNumberFormat="1" applyFont="1"/>
    <xf numFmtId="164" fontId="4" fillId="0" borderId="5" xfId="0" applyNumberFormat="1" applyFont="1" applyBorder="1"/>
    <xf numFmtId="164" fontId="4" fillId="0" borderId="6" xfId="0" applyNumberFormat="1" applyFont="1" applyBorder="1"/>
    <xf numFmtId="0" fontId="24" fillId="0" borderId="0" xfId="0" applyFont="1"/>
    <xf numFmtId="168" fontId="4" fillId="0" borderId="0" xfId="7" applyNumberFormat="1" applyFont="1"/>
    <xf numFmtId="168" fontId="4" fillId="0" borderId="3" xfId="7" applyNumberFormat="1" applyFont="1" applyBorder="1"/>
    <xf numFmtId="164" fontId="4" fillId="0" borderId="7" xfId="0" applyNumberFormat="1" applyFont="1" applyBorder="1"/>
    <xf numFmtId="0" fontId="4" fillId="0" borderId="7" xfId="0" applyFont="1" applyBorder="1"/>
    <xf numFmtId="168" fontId="4" fillId="0" borderId="7" xfId="7" applyNumberFormat="1" applyFont="1" applyBorder="1"/>
    <xf numFmtId="37" fontId="26" fillId="0" borderId="0" xfId="0" applyNumberFormat="1" applyFont="1" applyAlignment="1">
      <alignment vertical="center"/>
    </xf>
    <xf numFmtId="37" fontId="20" fillId="0" borderId="0" xfId="0" applyNumberFormat="1" applyFont="1" applyAlignment="1">
      <alignment vertical="center"/>
    </xf>
    <xf numFmtId="37" fontId="25" fillId="0" borderId="0" xfId="0" applyNumberFormat="1" applyFont="1" applyAlignment="1">
      <alignment vertical="center"/>
    </xf>
    <xf numFmtId="166" fontId="20" fillId="0" borderId="0" xfId="0" applyNumberFormat="1" applyFont="1" applyAlignment="1">
      <alignment horizontal="right"/>
    </xf>
    <xf numFmtId="166" fontId="20" fillId="0" borderId="3" xfId="0" applyNumberFormat="1" applyFont="1" applyBorder="1" applyAlignment="1">
      <alignment horizontal="right"/>
    </xf>
    <xf numFmtId="37" fontId="27" fillId="0" borderId="0" xfId="0" applyNumberFormat="1" applyFont="1" applyAlignment="1">
      <alignment vertical="center"/>
    </xf>
    <xf numFmtId="37" fontId="27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right"/>
    </xf>
    <xf numFmtId="167" fontId="22" fillId="0" borderId="0" xfId="0" applyNumberFormat="1" applyFont="1" applyAlignment="1">
      <alignment vertical="center"/>
    </xf>
    <xf numFmtId="166" fontId="23" fillId="0" borderId="0" xfId="0" applyNumberFormat="1" applyFont="1" applyAlignment="1">
      <alignment horizontal="right"/>
    </xf>
    <xf numFmtId="169" fontId="29" fillId="0" borderId="8" xfId="0" applyNumberFormat="1" applyFont="1" applyBorder="1" applyAlignment="1">
      <alignment horizontal="right" vertical="center"/>
    </xf>
    <xf numFmtId="170" fontId="23" fillId="0" borderId="0" xfId="0" applyNumberFormat="1" applyFont="1" applyAlignment="1">
      <alignment horizontal="right"/>
    </xf>
    <xf numFmtId="0" fontId="30" fillId="0" borderId="0" xfId="0" applyFont="1"/>
    <xf numFmtId="0" fontId="30" fillId="0" borderId="0" xfId="0" applyFont="1" applyAlignment="1">
      <alignment horizontal="right"/>
    </xf>
    <xf numFmtId="0" fontId="24" fillId="0" borderId="0" xfId="8" applyFont="1"/>
    <xf numFmtId="0" fontId="24" fillId="0" borderId="0" xfId="8" quotePrefix="1" applyFont="1" applyAlignment="1">
      <alignment horizontal="center"/>
    </xf>
    <xf numFmtId="0" fontId="24" fillId="0" borderId="3" xfId="8" applyFont="1" applyBorder="1" applyAlignment="1">
      <alignment horizontal="center"/>
    </xf>
    <xf numFmtId="171" fontId="32" fillId="0" borderId="3" xfId="0" applyNumberFormat="1" applyFont="1" applyBorder="1"/>
    <xf numFmtId="0" fontId="32" fillId="0" borderId="0" xfId="8" quotePrefix="1" applyFont="1" applyAlignment="1">
      <alignment horizontal="center"/>
    </xf>
    <xf numFmtId="172" fontId="32" fillId="0" borderId="0" xfId="7" quotePrefix="1" applyNumberFormat="1" applyFont="1" applyAlignment="1">
      <alignment horizontal="right"/>
    </xf>
    <xf numFmtId="0" fontId="24" fillId="0" borderId="0" xfId="8" applyFont="1" applyAlignment="1">
      <alignment horizontal="center"/>
    </xf>
    <xf numFmtId="171" fontId="32" fillId="0" borderId="0" xfId="0" applyNumberFormat="1" applyFont="1"/>
    <xf numFmtId="0" fontId="33" fillId="0" borderId="0" xfId="8" applyFont="1" applyAlignment="1">
      <alignment horizontal="center"/>
    </xf>
    <xf numFmtId="172" fontId="33" fillId="0" borderId="0" xfId="7" quotePrefix="1" applyNumberFormat="1" applyFont="1" applyAlignment="1">
      <alignment horizontal="right"/>
    </xf>
    <xf numFmtId="172" fontId="34" fillId="0" borderId="0" xfId="0" applyNumberFormat="1" applyFont="1" applyAlignment="1">
      <alignment horizontal="right"/>
    </xf>
    <xf numFmtId="173" fontId="33" fillId="0" borderId="0" xfId="7" quotePrefix="1" applyNumberFormat="1" applyFont="1" applyAlignment="1">
      <alignment horizontal="right"/>
    </xf>
    <xf numFmtId="0" fontId="34" fillId="0" borderId="0" xfId="0" applyFont="1" applyAlignment="1">
      <alignment horizontal="right"/>
    </xf>
    <xf numFmtId="173" fontId="32" fillId="0" borderId="0" xfId="7" quotePrefix="1" applyNumberFormat="1" applyFont="1" applyFill="1" applyAlignment="1">
      <alignment horizontal="right"/>
    </xf>
    <xf numFmtId="0" fontId="34" fillId="0" borderId="0" xfId="0" applyFont="1"/>
    <xf numFmtId="173" fontId="32" fillId="0" borderId="0" xfId="7" quotePrefix="1" applyNumberFormat="1" applyFont="1" applyAlignment="1">
      <alignment horizontal="right"/>
    </xf>
    <xf numFmtId="0" fontId="32" fillId="0" borderId="0" xfId="0" applyFont="1"/>
    <xf numFmtId="0" fontId="35" fillId="0" borderId="0" xfId="8" applyFont="1"/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171" fontId="32" fillId="0" borderId="9" xfId="0" applyNumberFormat="1" applyFont="1" applyBorder="1"/>
    <xf numFmtId="174" fontId="32" fillId="0" borderId="0" xfId="0" applyNumberFormat="1" applyFont="1" applyAlignment="1">
      <alignment horizontal="right"/>
    </xf>
    <xf numFmtId="2" fontId="33" fillId="0" borderId="0" xfId="7" quotePrefix="1" applyNumberFormat="1" applyFont="1" applyAlignment="1">
      <alignment horizontal="right"/>
    </xf>
    <xf numFmtId="175" fontId="32" fillId="0" borderId="0" xfId="0" applyNumberFormat="1" applyFont="1" applyAlignment="1">
      <alignment horizontal="right"/>
    </xf>
    <xf numFmtId="175" fontId="32" fillId="0" borderId="0" xfId="7" quotePrefix="1" applyNumberFormat="1" applyFont="1" applyFill="1" applyAlignment="1">
      <alignment horizontal="right"/>
    </xf>
    <xf numFmtId="175" fontId="32" fillId="0" borderId="0" xfId="7" quotePrefix="1" applyNumberFormat="1" applyFont="1" applyAlignment="1">
      <alignment horizontal="right"/>
    </xf>
    <xf numFmtId="0" fontId="21" fillId="0" borderId="0" xfId="0" applyFont="1"/>
    <xf numFmtId="0" fontId="21" fillId="0" borderId="0" xfId="0" quotePrefix="1" applyFont="1"/>
    <xf numFmtId="172" fontId="32" fillId="0" borderId="0" xfId="7" quotePrefix="1" applyNumberFormat="1" applyFont="1" applyFill="1" applyAlignment="1">
      <alignment horizontal="right"/>
    </xf>
    <xf numFmtId="2" fontId="32" fillId="0" borderId="0" xfId="7" quotePrefix="1" applyNumberFormat="1" applyFont="1" applyAlignment="1">
      <alignment horizontal="right"/>
    </xf>
    <xf numFmtId="2" fontId="33" fillId="0" borderId="0" xfId="7" quotePrefix="1" applyNumberFormat="1" applyFont="1" applyFill="1" applyAlignment="1">
      <alignment horizontal="right"/>
    </xf>
    <xf numFmtId="172" fontId="32" fillId="0" borderId="3" xfId="7" quotePrefix="1" applyNumberFormat="1" applyFont="1" applyBorder="1" applyAlignment="1">
      <alignment horizontal="center"/>
    </xf>
    <xf numFmtId="173" fontId="32" fillId="0" borderId="0" xfId="7" quotePrefix="1" applyNumberFormat="1" applyFont="1" applyAlignment="1">
      <alignment horizontal="center"/>
    </xf>
    <xf numFmtId="172" fontId="32" fillId="0" borderId="0" xfId="7" quotePrefix="1" applyNumberFormat="1" applyFont="1" applyAlignment="1">
      <alignment horizontal="center"/>
    </xf>
    <xf numFmtId="2" fontId="33" fillId="0" borderId="0" xfId="7" quotePrefix="1" applyNumberFormat="1" applyFont="1" applyBorder="1" applyAlignment="1">
      <alignment horizontal="right"/>
    </xf>
    <xf numFmtId="173" fontId="32" fillId="0" borderId="0" xfId="7" quotePrefix="1" applyNumberFormat="1" applyFont="1" applyBorder="1" applyAlignment="1">
      <alignment horizontal="right"/>
    </xf>
    <xf numFmtId="172" fontId="33" fillId="0" borderId="0" xfId="7" quotePrefix="1" applyNumberFormat="1" applyFont="1" applyBorder="1" applyAlignment="1">
      <alignment horizontal="right"/>
    </xf>
    <xf numFmtId="173" fontId="33" fillId="0" borderId="0" xfId="7" quotePrefix="1" applyNumberFormat="1" applyFont="1" applyBorder="1" applyAlignment="1">
      <alignment horizontal="right"/>
    </xf>
    <xf numFmtId="0" fontId="32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176" fontId="33" fillId="0" borderId="0" xfId="0" applyNumberFormat="1" applyFont="1"/>
    <xf numFmtId="176" fontId="24" fillId="0" borderId="0" xfId="0" applyNumberFormat="1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right"/>
    </xf>
    <xf numFmtId="172" fontId="34" fillId="0" borderId="0" xfId="0" applyNumberFormat="1" applyFont="1"/>
    <xf numFmtId="0" fontId="18" fillId="2" borderId="0" xfId="0" applyFont="1" applyFill="1"/>
    <xf numFmtId="2" fontId="34" fillId="0" borderId="0" xfId="7" applyNumberFormat="1" applyFont="1"/>
    <xf numFmtId="0" fontId="0" fillId="2" borderId="0" xfId="0" applyFill="1"/>
    <xf numFmtId="0" fontId="38" fillId="3" borderId="10" xfId="9"/>
    <xf numFmtId="164" fontId="39" fillId="0" borderId="0" xfId="0" applyNumberFormat="1" applyFont="1" applyAlignment="1">
      <alignment vertical="center"/>
    </xf>
    <xf numFmtId="164" fontId="39" fillId="0" borderId="3" xfId="0" applyNumberFormat="1" applyFont="1" applyBorder="1" applyAlignment="1">
      <alignment vertical="center"/>
    </xf>
    <xf numFmtId="164" fontId="39" fillId="0" borderId="0" xfId="0" applyNumberFormat="1" applyFont="1"/>
    <xf numFmtId="164" fontId="39" fillId="0" borderId="3" xfId="0" applyNumberFormat="1" applyFont="1" applyBorder="1"/>
    <xf numFmtId="0" fontId="40" fillId="0" borderId="0" xfId="0" applyFont="1" applyAlignment="1">
      <alignment horizontal="left" indent="1"/>
    </xf>
    <xf numFmtId="0" fontId="41" fillId="0" borderId="0" xfId="0" applyFont="1"/>
    <xf numFmtId="0" fontId="40" fillId="0" borderId="0" xfId="0" applyFont="1"/>
    <xf numFmtId="167" fontId="42" fillId="0" borderId="0" xfId="0" applyNumberFormat="1" applyFont="1" applyAlignment="1">
      <alignment vertical="center"/>
    </xf>
    <xf numFmtId="167" fontId="43" fillId="0" borderId="0" xfId="0" applyNumberFormat="1" applyFont="1" applyAlignment="1">
      <alignment vertical="center"/>
    </xf>
    <xf numFmtId="172" fontId="32" fillId="0" borderId="0" xfId="7" quotePrefix="1" applyNumberFormat="1" applyFont="1" applyBorder="1" applyAlignment="1">
      <alignment horizontal="center"/>
    </xf>
    <xf numFmtId="0" fontId="0" fillId="0" borderId="11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9" fillId="0" borderId="13" xfId="0" applyFont="1" applyBorder="1" applyAlignment="1">
      <alignment horizontal="centerContinuous" vertical="center"/>
    </xf>
    <xf numFmtId="0" fontId="19" fillId="0" borderId="14" xfId="0" applyFont="1" applyBorder="1" applyAlignment="1">
      <alignment horizontal="centerContinuous" vertical="center"/>
    </xf>
    <xf numFmtId="0" fontId="19" fillId="0" borderId="15" xfId="0" applyFont="1" applyBorder="1" applyAlignment="1">
      <alignment horizontal="centerContinuous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172" fontId="32" fillId="0" borderId="17" xfId="7" quotePrefix="1" applyNumberFormat="1" applyFont="1" applyBorder="1" applyAlignment="1">
      <alignment horizontal="center"/>
    </xf>
    <xf numFmtId="172" fontId="32" fillId="0" borderId="18" xfId="7" quotePrefix="1" applyNumberFormat="1" applyFont="1" applyBorder="1" applyAlignment="1">
      <alignment horizontal="center"/>
    </xf>
    <xf numFmtId="172" fontId="32" fillId="0" borderId="19" xfId="7" quotePrefix="1" applyNumberFormat="1" applyFont="1" applyBorder="1" applyAlignment="1">
      <alignment horizontal="center"/>
    </xf>
    <xf numFmtId="174" fontId="32" fillId="0" borderId="17" xfId="7" quotePrefix="1" applyNumberFormat="1" applyFont="1" applyBorder="1" applyAlignment="1">
      <alignment horizontal="center"/>
    </xf>
    <xf numFmtId="172" fontId="32" fillId="0" borderId="20" xfId="7" quotePrefix="1" applyNumberFormat="1" applyFont="1" applyBorder="1" applyAlignment="1">
      <alignment horizontal="center"/>
    </xf>
    <xf numFmtId="0" fontId="0" fillId="0" borderId="13" xfId="0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0" fillId="0" borderId="15" xfId="0" applyBorder="1" applyAlignment="1">
      <alignment horizontal="centerContinuous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75" fontId="32" fillId="0" borderId="17" xfId="7" quotePrefix="1" applyNumberFormat="1" applyFont="1" applyBorder="1" applyAlignment="1">
      <alignment horizontal="center"/>
    </xf>
    <xf numFmtId="172" fontId="32" fillId="0" borderId="12" xfId="7" quotePrefix="1" applyNumberFormat="1" applyFon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44" fillId="0" borderId="24" xfId="0" applyFont="1" applyBorder="1" applyAlignment="1">
      <alignment horizontal="centerContinuous"/>
    </xf>
    <xf numFmtId="0" fontId="44" fillId="0" borderId="25" xfId="0" applyFont="1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26" xfId="0" applyBorder="1"/>
    <xf numFmtId="0" fontId="0" fillId="0" borderId="18" xfId="0" applyBorder="1" applyAlignment="1">
      <alignment horizontal="centerContinuous"/>
    </xf>
    <xf numFmtId="0" fontId="46" fillId="2" borderId="0" xfId="10" applyFont="1" applyFill="1" applyAlignment="1">
      <alignment horizontal="center"/>
    </xf>
    <xf numFmtId="0" fontId="46" fillId="2" borderId="0" xfId="10" applyFont="1" applyFill="1" applyAlignment="1">
      <alignment horizontal="center" wrapText="1"/>
    </xf>
    <xf numFmtId="0" fontId="47" fillId="0" borderId="0" xfId="0" applyFont="1"/>
    <xf numFmtId="0" fontId="47" fillId="2" borderId="0" xfId="0" applyFont="1" applyFill="1"/>
    <xf numFmtId="0" fontId="49" fillId="0" borderId="0" xfId="0" applyFont="1"/>
    <xf numFmtId="0" fontId="50" fillId="0" borderId="0" xfId="0" applyFont="1"/>
    <xf numFmtId="0" fontId="16" fillId="0" borderId="0" xfId="5"/>
    <xf numFmtId="0" fontId="51" fillId="0" borderId="0" xfId="5" applyFont="1"/>
    <xf numFmtId="0" fontId="52" fillId="0" borderId="0" xfId="0" applyFont="1" applyAlignment="1">
      <alignment vertical="center"/>
    </xf>
    <xf numFmtId="0" fontId="47" fillId="4" borderId="28" xfId="0" applyFont="1" applyFill="1" applyBorder="1"/>
    <xf numFmtId="0" fontId="47" fillId="4" borderId="29" xfId="0" applyFont="1" applyFill="1" applyBorder="1"/>
    <xf numFmtId="0" fontId="47" fillId="4" borderId="30" xfId="0" applyFont="1" applyFill="1" applyBorder="1"/>
    <xf numFmtId="0" fontId="47" fillId="4" borderId="0" xfId="0" applyFont="1" applyFill="1"/>
    <xf numFmtId="0" fontId="47" fillId="4" borderId="31" xfId="0" applyFont="1" applyFill="1" applyBorder="1"/>
    <xf numFmtId="0" fontId="47" fillId="4" borderId="33" xfId="0" applyFont="1" applyFill="1" applyBorder="1"/>
    <xf numFmtId="0" fontId="47" fillId="4" borderId="34" xfId="0" applyFont="1" applyFill="1" applyBorder="1"/>
    <xf numFmtId="0" fontId="53" fillId="4" borderId="27" xfId="0" applyFont="1" applyFill="1" applyBorder="1"/>
    <xf numFmtId="0" fontId="19" fillId="4" borderId="30" xfId="0" applyFont="1" applyFill="1" applyBorder="1"/>
    <xf numFmtId="0" fontId="19" fillId="4" borderId="32" xfId="0" applyFont="1" applyFill="1" applyBorder="1" applyAlignment="1">
      <alignment horizontal="left" vertical="center"/>
    </xf>
    <xf numFmtId="0" fontId="54" fillId="2" borderId="0" xfId="0" applyFont="1" applyFill="1" applyAlignment="1">
      <alignment vertical="center"/>
    </xf>
    <xf numFmtId="0" fontId="23" fillId="0" borderId="0" xfId="8" applyFont="1"/>
    <xf numFmtId="0" fontId="24" fillId="0" borderId="0" xfId="8" applyFont="1" applyAlignment="1">
      <alignment horizontal="left" indent="1"/>
    </xf>
    <xf numFmtId="9" fontId="47" fillId="0" borderId="0" xfId="7" applyFont="1"/>
    <xf numFmtId="9" fontId="47" fillId="0" borderId="0" xfId="0" applyNumberFormat="1" applyFont="1"/>
    <xf numFmtId="9" fontId="55" fillId="0" borderId="0" xfId="7" applyFont="1"/>
    <xf numFmtId="0" fontId="47" fillId="0" borderId="3" xfId="0" applyFont="1" applyBorder="1"/>
    <xf numFmtId="0" fontId="58" fillId="0" borderId="0" xfId="0" applyFont="1"/>
    <xf numFmtId="0" fontId="57" fillId="0" borderId="3" xfId="8" applyFont="1" applyBorder="1" applyAlignment="1">
      <alignment horizontal="left" indent="1"/>
    </xf>
    <xf numFmtId="0" fontId="24" fillId="0" borderId="3" xfId="8" applyFont="1" applyBorder="1" applyAlignment="1">
      <alignment horizontal="left" indent="1"/>
    </xf>
    <xf numFmtId="174" fontId="33" fillId="0" borderId="0" xfId="0" applyNumberFormat="1" applyFont="1"/>
    <xf numFmtId="175" fontId="33" fillId="0" borderId="0" xfId="0" applyNumberFormat="1" applyFont="1"/>
    <xf numFmtId="0" fontId="7" fillId="0" borderId="2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174" fontId="21" fillId="0" borderId="0" xfId="0" applyNumberFormat="1" applyFont="1"/>
    <xf numFmtId="175" fontId="21" fillId="0" borderId="0" xfId="0" applyNumberFormat="1" applyFont="1"/>
    <xf numFmtId="0" fontId="59" fillId="0" borderId="0" xfId="10" applyFont="1"/>
    <xf numFmtId="0" fontId="60" fillId="0" borderId="0" xfId="0" applyFont="1"/>
    <xf numFmtId="0" fontId="47" fillId="4" borderId="30" xfId="0" applyFont="1" applyFill="1" applyBorder="1" applyAlignment="1">
      <alignment horizontal="left" wrapText="1"/>
    </xf>
    <xf numFmtId="0" fontId="47" fillId="4" borderId="0" xfId="0" applyFont="1" applyFill="1" applyAlignment="1">
      <alignment horizontal="left" wrapText="1"/>
    </xf>
    <xf numFmtId="0" fontId="47" fillId="4" borderId="31" xfId="0" applyFont="1" applyFill="1" applyBorder="1" applyAlignment="1">
      <alignment horizontal="left" wrapText="1"/>
    </xf>
    <xf numFmtId="0" fontId="19" fillId="4" borderId="30" xfId="0" applyFont="1" applyFill="1" applyBorder="1" applyAlignment="1">
      <alignment horizontal="left" vertical="center" wrapText="1"/>
    </xf>
    <xf numFmtId="0" fontId="19" fillId="4" borderId="0" xfId="0" applyFont="1" applyFill="1" applyAlignment="1">
      <alignment horizontal="left" vertical="center" wrapText="1"/>
    </xf>
    <xf numFmtId="0" fontId="19" fillId="4" borderId="31" xfId="0" applyFont="1" applyFill="1" applyBorder="1" applyAlignment="1">
      <alignment horizontal="left" vertical="center" wrapText="1"/>
    </xf>
  </cellXfs>
  <cellStyles count="11">
    <cellStyle name="Comma 2" xfId="3" xr:uid="{06177B73-4D69-4C98-B719-506BC83BBEC7}"/>
    <cellStyle name="Comma 3" xfId="2" xr:uid="{9CE2875F-A2A7-470B-9418-F6DB55C71210}"/>
    <cellStyle name="ferrari heading" xfId="9" xr:uid="{C0315174-2C85-4CD7-B0A3-DEC8E6510351}"/>
    <cellStyle name="Heading 3" xfId="1" builtinId="18"/>
    <cellStyle name="Hyperlink" xfId="10" builtinId="8"/>
    <cellStyle name="Hyperlink 2" xfId="5" xr:uid="{2C5DF408-10E4-47E1-9966-A6B58F9A9F8C}"/>
    <cellStyle name="Hyperlink 2 2" xfId="6" xr:uid="{1D56D971-6463-494D-ACE3-52C328A181D7}"/>
    <cellStyle name="Normal" xfId="0" builtinId="0"/>
    <cellStyle name="Normal 2 2 2" xfId="4" xr:uid="{203162BC-7AED-4568-9138-309C88707342}"/>
    <cellStyle name="Normal_Wal-Mart Financial Statements" xfId="8" xr:uid="{EF1BAE31-393A-4EA8-9F77-4D84739DF748}"/>
    <cellStyle name="Percent" xfId="7" builtinId="5"/>
  </cellStyles>
  <dxfs count="0"/>
  <tableStyles count="0" defaultTableStyle="TableStyleMedium2" defaultPivotStyle="PivotStyleLight16"/>
  <colors>
    <mruColors>
      <color rgb="FF940606"/>
      <color rgb="FFE20000"/>
      <color rgb="FFCC0000"/>
      <color rgb="FFFF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Gross Margin</a:t>
            </a:r>
            <a:r>
              <a:rPr lang="en-US" sz="1400" b="0" i="0" u="none" strike="noStrike" baseline="0">
                <a:effectLst/>
              </a:rPr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Profitability!$B$11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Profitability!$D$5:$I$5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Profitability!$D$11:$I$11</c:f>
              <c:numCache>
                <c:formatCode>0%</c:formatCode>
                <c:ptCount val="6"/>
                <c:pt idx="0">
                  <c:v>0.57558926986898051</c:v>
                </c:pt>
                <c:pt idx="1">
                  <c:v>0.56671460354670478</c:v>
                </c:pt>
                <c:pt idx="2">
                  <c:v>0.53111189353857535</c:v>
                </c:pt>
                <c:pt idx="3">
                  <c:v>0.5467995255057414</c:v>
                </c:pt>
                <c:pt idx="4">
                  <c:v>0.54620403470713241</c:v>
                </c:pt>
                <c:pt idx="5">
                  <c:v>0.55858670474608185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CD-4346-A012-07B8A8CC59D8}"/>
            </c:ext>
          </c:extLst>
        </c:ser>
        <c:ser>
          <c:idx val="1"/>
          <c:order val="1"/>
          <c:tx>
            <c:strRef>
              <c:f>Profitability!$B$12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Profitability!$D$5:$I$5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Profitability!$D$12:$I$12</c:f>
              <c:numCache>
                <c:formatCode>0%</c:formatCode>
                <c:ptCount val="6"/>
                <c:pt idx="0">
                  <c:v>0.55416767198553607</c:v>
                </c:pt>
                <c:pt idx="1">
                  <c:v>0.55416767198553607</c:v>
                </c:pt>
                <c:pt idx="2">
                  <c:v>0.55416767198553607</c:v>
                </c:pt>
                <c:pt idx="3">
                  <c:v>0.55416767198553607</c:v>
                </c:pt>
                <c:pt idx="4">
                  <c:v>0.55416767198553607</c:v>
                </c:pt>
                <c:pt idx="5">
                  <c:v>0.55416767198553607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CD-4346-A012-07B8A8CC5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Return on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Profitability!$B$8</c:f>
              <c:strCache>
                <c:ptCount val="1"/>
                <c:pt idx="0">
                  <c:v>Return on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Profitability!$D$5:$I$5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Profitability!$D$8:$I$8</c:f>
              <c:numCache>
                <c:formatCode>0%</c:formatCode>
                <c:ptCount val="6"/>
                <c:pt idx="0">
                  <c:v>0.34030775696902088</c:v>
                </c:pt>
                <c:pt idx="1">
                  <c:v>0.37674322696408091</c:v>
                </c:pt>
                <c:pt idx="2">
                  <c:v>0.36092168760112925</c:v>
                </c:pt>
                <c:pt idx="3">
                  <c:v>0.40951214444500167</c:v>
                </c:pt>
                <c:pt idx="4">
                  <c:v>0.43065495459238134</c:v>
                </c:pt>
                <c:pt idx="5">
                  <c:v>0.40858759019112884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81-4F58-8255-04A5B0F6AFDF}"/>
            </c:ext>
          </c:extLst>
        </c:ser>
        <c:ser>
          <c:idx val="1"/>
          <c:order val="1"/>
          <c:tx>
            <c:strRef>
              <c:f>Profitability!$B$9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Profitability!$D$5:$I$5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Profitability!$D$9:$I$9</c:f>
              <c:numCache>
                <c:formatCode>0%</c:formatCode>
                <c:ptCount val="6"/>
                <c:pt idx="0">
                  <c:v>0.38778789346045711</c:v>
                </c:pt>
                <c:pt idx="1">
                  <c:v>0.38778789346045711</c:v>
                </c:pt>
                <c:pt idx="2">
                  <c:v>0.38778789346045711</c:v>
                </c:pt>
                <c:pt idx="3">
                  <c:v>0.38778789346045711</c:v>
                </c:pt>
                <c:pt idx="4">
                  <c:v>0.38778789346045711</c:v>
                </c:pt>
                <c:pt idx="5">
                  <c:v>0.38778789346045711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81-4F58-8255-04A5B0F6A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EBIT Margin</a:t>
            </a:r>
            <a:r>
              <a:rPr lang="en-US" sz="1400" b="0" i="0" u="none" strike="noStrike" baseline="0">
                <a:effectLst/>
              </a:rPr>
              <a:t> </a:t>
            </a:r>
            <a:r>
              <a:rPr lang="en-US" sz="1400" b="1" i="0" u="none" strike="noStrike" baseline="0">
                <a:effectLst/>
              </a:rPr>
              <a:t>EBIT Margin</a:t>
            </a:r>
            <a:r>
              <a:rPr lang="en-US" sz="1400" b="0" i="0" u="none" strike="noStrike" baseline="0">
                <a:effectLst/>
              </a:rPr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Profitability!$B$17</c:f>
              <c:strCache>
                <c:ptCount val="1"/>
                <c:pt idx="0">
                  <c:v>EBIT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Profitability!$D$5:$I$5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Profitability!$D$17:$I$17</c:f>
              <c:numCache>
                <c:formatCode>0%</c:formatCode>
                <c:ptCount val="6"/>
                <c:pt idx="0">
                  <c:v>0.2069856841022143</c:v>
                </c:pt>
                <c:pt idx="1">
                  <c:v>0.25181800344377547</c:v>
                </c:pt>
                <c:pt idx="2">
                  <c:v>0.2408873041461721</c:v>
                </c:pt>
                <c:pt idx="3">
                  <c:v>0.27090945514565307</c:v>
                </c:pt>
                <c:pt idx="4">
                  <c:v>0.28273848572371729</c:v>
                </c:pt>
                <c:pt idx="5">
                  <c:v>0.29523978388327188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3-4084-A1E4-58A9B3667558}"/>
            </c:ext>
          </c:extLst>
        </c:ser>
        <c:ser>
          <c:idx val="1"/>
          <c:order val="1"/>
          <c:tx>
            <c:strRef>
              <c:f>Profitability!$B$18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Profitability!$D$5:$I$5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Profitability!$D$18:$I$18</c:f>
              <c:numCache>
                <c:formatCode>0%</c:formatCode>
                <c:ptCount val="6"/>
                <c:pt idx="0">
                  <c:v>0.25809645274080067</c:v>
                </c:pt>
                <c:pt idx="1">
                  <c:v>0.25809645274080067</c:v>
                </c:pt>
                <c:pt idx="2">
                  <c:v>0.25809645274080067</c:v>
                </c:pt>
                <c:pt idx="3">
                  <c:v>0.25809645274080067</c:v>
                </c:pt>
                <c:pt idx="4">
                  <c:v>0.25809645274080067</c:v>
                </c:pt>
                <c:pt idx="5">
                  <c:v>0.25809645274080067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A3-4084-A1E4-58A9B3667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EBITDA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Profitability!$B$14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Profitability!$D$5:$I$5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Profitability!$D$14:$I$14</c:f>
              <c:numCache>
                <c:formatCode>0%</c:formatCode>
                <c:ptCount val="6"/>
                <c:pt idx="0">
                  <c:v>0.33029865974524464</c:v>
                </c:pt>
                <c:pt idx="1">
                  <c:v>0.3585846429342428</c:v>
                </c:pt>
                <c:pt idx="2">
                  <c:v>0.34809000689661401</c:v>
                </c:pt>
                <c:pt idx="3">
                  <c:v>0.38184560310585369</c:v>
                </c:pt>
                <c:pt idx="4">
                  <c:v>0.38260521565547367</c:v>
                </c:pt>
                <c:pt idx="5">
                  <c:v>0.38787321390786828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67-494B-BE5A-3218F7CF4ADD}"/>
            </c:ext>
          </c:extLst>
        </c:ser>
        <c:ser>
          <c:idx val="1"/>
          <c:order val="1"/>
          <c:tx>
            <c:strRef>
              <c:f>Profitability!$B$15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Profitability!$D$5:$I$5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Profitability!$D$15:$I$15</c:f>
              <c:numCache>
                <c:formatCode>0%</c:formatCode>
                <c:ptCount val="6"/>
                <c:pt idx="0">
                  <c:v>0.36488289037421612</c:v>
                </c:pt>
                <c:pt idx="1">
                  <c:v>0.36488289037421612</c:v>
                </c:pt>
                <c:pt idx="2">
                  <c:v>0.36488289037421612</c:v>
                </c:pt>
                <c:pt idx="3">
                  <c:v>0.36488289037421612</c:v>
                </c:pt>
                <c:pt idx="4">
                  <c:v>0.36488289037421612</c:v>
                </c:pt>
                <c:pt idx="5">
                  <c:v>0.36488289037421612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67-494B-BE5A-3218F7CF4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Net Profit Margin</a:t>
            </a:r>
            <a:r>
              <a:rPr lang="en-US" sz="1400" b="0" i="0" u="none" strike="noStrike" baseline="0">
                <a:effectLst/>
              </a:rPr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Profitability!$B$20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Profitability!$D$5:$I$5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Profitability!$D$20:$I$20</c:f>
              <c:numCache>
                <c:formatCode>0%</c:formatCode>
                <c:ptCount val="6"/>
                <c:pt idx="0">
                  <c:v>0.17598755993860898</c:v>
                </c:pt>
                <c:pt idx="1">
                  <c:v>0.19507297535363791</c:v>
                </c:pt>
                <c:pt idx="2">
                  <c:v>0.18434684512293203</c:v>
                </c:pt>
                <c:pt idx="3">
                  <c:v>0.21062416229016845</c:v>
                </c:pt>
                <c:pt idx="4">
                  <c:v>0.22854408815894395</c:v>
                </c:pt>
                <c:pt idx="5">
                  <c:v>0.22384088036443389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80-4173-8260-7715376D768F}"/>
            </c:ext>
          </c:extLst>
        </c:ser>
        <c:ser>
          <c:idx val="1"/>
          <c:order val="1"/>
          <c:tx>
            <c:strRef>
              <c:f>Profitability!$B$21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Profitability!$D$5:$I$5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Profitability!$D$21:$I$21</c:f>
              <c:numCache>
                <c:formatCode>0%</c:formatCode>
                <c:ptCount val="6"/>
                <c:pt idx="0">
                  <c:v>0.20306941853812085</c:v>
                </c:pt>
                <c:pt idx="1">
                  <c:v>0.20306941853812085</c:v>
                </c:pt>
                <c:pt idx="2">
                  <c:v>0.20306941853812085</c:v>
                </c:pt>
                <c:pt idx="3">
                  <c:v>0.20306941853812085</c:v>
                </c:pt>
                <c:pt idx="4">
                  <c:v>0.20306941853812085</c:v>
                </c:pt>
                <c:pt idx="5">
                  <c:v>0.20306941853812085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80-4173-8260-7715376D7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Cash Days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Utilization!$B$11</c:f>
              <c:strCache>
                <c:ptCount val="1"/>
                <c:pt idx="0">
                  <c:v>Cash Days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Utilization!$D$5:$I$5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Utilization!$D$11:$I$11</c:f>
              <c:numCache>
                <c:formatCode>_(0.0_)"days";\(0.0\)"days";_("–"_);_(@_)</c:formatCode>
                <c:ptCount val="6"/>
                <c:pt idx="0">
                  <c:v>143.73074377346603</c:v>
                </c:pt>
                <c:pt idx="1">
                  <c:v>114.8736751602826</c:v>
                </c:pt>
                <c:pt idx="2">
                  <c:v>99.494326484999576</c:v>
                </c:pt>
                <c:pt idx="3">
                  <c:v>68.595150771857178</c:v>
                </c:pt>
                <c:pt idx="4">
                  <c:v>95.243332452654528</c:v>
                </c:pt>
                <c:pt idx="5">
                  <c:v>74.969480537291446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FD-4A99-94CA-73510F5119EF}"/>
            </c:ext>
          </c:extLst>
        </c:ser>
        <c:ser>
          <c:idx val="1"/>
          <c:order val="1"/>
          <c:tx>
            <c:strRef>
              <c:f>Utilization!$B$12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Utilization!$D$5:$I$5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Utilization!$D$12:$I$12</c:f>
              <c:numCache>
                <c:formatCode>_(0.0_)"days";\(0.0\)"days";_("–"_);_(@_)</c:formatCode>
                <c:ptCount val="6"/>
                <c:pt idx="0">
                  <c:v>99.484451530091903</c:v>
                </c:pt>
                <c:pt idx="1">
                  <c:v>99.484451530091903</c:v>
                </c:pt>
                <c:pt idx="2">
                  <c:v>99.484451530091903</c:v>
                </c:pt>
                <c:pt idx="3">
                  <c:v>99.484451530091903</c:v>
                </c:pt>
                <c:pt idx="4">
                  <c:v>99.484451530091903</c:v>
                </c:pt>
                <c:pt idx="5">
                  <c:v>99.484451530091903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FD-4A99-94CA-73510F511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_(0.0_)&quot;days&quot;;\(0.0\)&quot;days&quot;;_(&quot;–&quot;_);_(@_)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Asset Turnover</a:t>
            </a:r>
            <a:r>
              <a:rPr lang="en-US" sz="1400" b="0" i="0" u="none" strike="noStrike" baseline="0">
                <a:effectLst/>
              </a:rPr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Utilization!$B$8</c:f>
              <c:strCache>
                <c:ptCount val="1"/>
                <c:pt idx="0">
                  <c:v>Asset 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Utilization!$D$5:$I$5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Utilization!$D$8:$I$8</c:f>
              <c:numCache>
                <c:formatCode>_(0.00\x_);\(0.00\x\);_("–"_);_(@_)</c:formatCode>
                <c:ptCount val="6"/>
                <c:pt idx="0">
                  <c:v>0.55250144241970711</c:v>
                </c:pt>
                <c:pt idx="1">
                  <c:v>0.62226136645926533</c:v>
                </c:pt>
                <c:pt idx="2">
                  <c:v>0.6561125588363268</c:v>
                </c:pt>
                <c:pt idx="3">
                  <c:v>0.74151219080815645</c:v>
                </c:pt>
                <c:pt idx="4">
                  <c:v>0.70301835941029023</c:v>
                </c:pt>
                <c:pt idx="5">
                  <c:v>0.74215899044820965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A9-45D1-ADB5-1AB7F72462F8}"/>
            </c:ext>
          </c:extLst>
        </c:ser>
        <c:ser>
          <c:idx val="1"/>
          <c:order val="1"/>
          <c:tx>
            <c:strRef>
              <c:f>Utilization!$B$9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Utilization!$D$5:$I$5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Utilization!$D$9:$I$9</c:f>
              <c:numCache>
                <c:formatCode>_(0.00\x_);\(0.00\x\);_("–"_);_(@_)</c:formatCode>
                <c:ptCount val="6"/>
                <c:pt idx="0">
                  <c:v>0.66959415139699263</c:v>
                </c:pt>
                <c:pt idx="1">
                  <c:v>0.66959415139699263</c:v>
                </c:pt>
                <c:pt idx="2">
                  <c:v>0.66959415139699263</c:v>
                </c:pt>
                <c:pt idx="3">
                  <c:v>0.66959415139699263</c:v>
                </c:pt>
                <c:pt idx="4">
                  <c:v>0.66959415139699263</c:v>
                </c:pt>
                <c:pt idx="5">
                  <c:v>0.66959415139699263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A9-45D1-ADB5-1AB7F7246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_(0.00\x_);\(0.00\x\);_(&quot;–&quot;_);_(@_)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Inventory Days</a:t>
            </a:r>
            <a:r>
              <a:rPr lang="en-US" sz="1400" b="0" i="0" u="none" strike="noStrike" baseline="0">
                <a:effectLst/>
              </a:rPr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Utilization!$B$17</c:f>
              <c:strCache>
                <c:ptCount val="1"/>
                <c:pt idx="0">
                  <c:v>Inventory Days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Utilization!$D$5:$I$5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Utilization!$D$17:$I$17</c:f>
              <c:numCache>
                <c:formatCode>_(0.0_)"days";\(0.0\)"days";_("–"_);_(@_)</c:formatCode>
                <c:ptCount val="6"/>
                <c:pt idx="0">
                  <c:v>114.49769200175433</c:v>
                </c:pt>
                <c:pt idx="1">
                  <c:v>106.62424696679197</c:v>
                </c:pt>
                <c:pt idx="2">
                  <c:v>103.07279632866548</c:v>
                </c:pt>
                <c:pt idx="3">
                  <c:v>127.95619056700495</c:v>
                </c:pt>
                <c:pt idx="4">
                  <c:v>131.09278197399536</c:v>
                </c:pt>
                <c:pt idx="5">
                  <c:v>128.89803778219581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5C-4DCC-B1F2-AAEB5A8FFF8E}"/>
            </c:ext>
          </c:extLst>
        </c:ser>
        <c:ser>
          <c:idx val="1"/>
          <c:order val="1"/>
          <c:tx>
            <c:strRef>
              <c:f>Utilization!$B$18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Utilization!$D$5:$I$5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Utilization!$D$18:$I$18</c:f>
              <c:numCache>
                <c:formatCode>_(0.0_)"days";\(0.0\)"days";_("–"_);_(@_)</c:formatCode>
                <c:ptCount val="6"/>
                <c:pt idx="0">
                  <c:v>118.69029093673466</c:v>
                </c:pt>
                <c:pt idx="1">
                  <c:v>118.69029093673466</c:v>
                </c:pt>
                <c:pt idx="2">
                  <c:v>118.69029093673466</c:v>
                </c:pt>
                <c:pt idx="3">
                  <c:v>118.69029093673466</c:v>
                </c:pt>
                <c:pt idx="4">
                  <c:v>118.69029093673466</c:v>
                </c:pt>
                <c:pt idx="5">
                  <c:v>118.69029093673466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5C-4DCC-B1F2-AAEB5A8FF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_(0.0_)&quot;days&quot;;\(0.0\)&quot;days&quot;;_(&quot;–&quot;_);_(@_)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A/R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Utilization!$B$14</c:f>
              <c:strCache>
                <c:ptCount val="1"/>
                <c:pt idx="0">
                  <c:v>A/R Days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Utilization!$D$5:$I$5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Utilization!$D$14:$I$14</c:f>
              <c:numCache>
                <c:formatCode>_(0.0_)"days";\(0.0\)"days";_("–"_);_(@_)</c:formatCode>
                <c:ptCount val="6"/>
                <c:pt idx="0">
                  <c:v>19.439012194381739</c:v>
                </c:pt>
                <c:pt idx="1">
                  <c:v>15.810507120991531</c:v>
                </c:pt>
                <c:pt idx="2">
                  <c:v>16.649044385225938</c:v>
                </c:pt>
                <c:pt idx="3">
                  <c:v>15.980128459170011</c:v>
                </c:pt>
                <c:pt idx="4">
                  <c:v>19.088749058662195</c:v>
                </c:pt>
                <c:pt idx="5">
                  <c:v>18.405822159353619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78-41D7-AB11-1B793845B752}"/>
            </c:ext>
          </c:extLst>
        </c:ser>
        <c:ser>
          <c:idx val="1"/>
          <c:order val="1"/>
          <c:tx>
            <c:strRef>
              <c:f>Utilization!$B$15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Utilization!$D$5:$I$5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Utilization!$D$15:$I$15</c:f>
              <c:numCache>
                <c:formatCode>_(0.0_)"days";\(0.0\)"days";_("–"_);_(@_)</c:formatCode>
                <c:ptCount val="6"/>
                <c:pt idx="0">
                  <c:v>17.562210562964172</c:v>
                </c:pt>
                <c:pt idx="1">
                  <c:v>17.562210562964172</c:v>
                </c:pt>
                <c:pt idx="2">
                  <c:v>17.562210562964172</c:v>
                </c:pt>
                <c:pt idx="3">
                  <c:v>17.562210562964172</c:v>
                </c:pt>
                <c:pt idx="4">
                  <c:v>17.562210562964172</c:v>
                </c:pt>
                <c:pt idx="5">
                  <c:v>17.562210562964172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78-41D7-AB11-1B793845B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_(0.0_)&quot;days&quot;;\(0.0\)&quot;days&quot;;_(&quot;–&quot;_);_(@_)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A/P Days</a:t>
            </a:r>
            <a:r>
              <a:rPr lang="en-US" sz="1400" b="0" i="0" u="none" strike="noStrike" baseline="0">
                <a:effectLst/>
              </a:rPr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Utilization!$B$20</c:f>
              <c:strCache>
                <c:ptCount val="1"/>
                <c:pt idx="0">
                  <c:v>A/P Days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Utilization!$D$5:$I$5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Utilization!$D$20:$I$20</c:f>
              <c:numCache>
                <c:formatCode>_(0.0_)"days";\(0.0\)"days";_("–"_);_(@_)</c:formatCode>
                <c:ptCount val="6"/>
                <c:pt idx="0">
                  <c:v>177.43429798443447</c:v>
                </c:pt>
                <c:pt idx="1">
                  <c:v>177.43429798443447</c:v>
                </c:pt>
                <c:pt idx="2">
                  <c:v>157.36620488555624</c:v>
                </c:pt>
                <c:pt idx="3">
                  <c:v>137.95268853930176</c:v>
                </c:pt>
                <c:pt idx="4">
                  <c:v>125.53416469765563</c:v>
                </c:pt>
                <c:pt idx="5">
                  <c:v>113.92160490058072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40-41F3-86DF-031763AC6C9C}"/>
            </c:ext>
          </c:extLst>
        </c:ser>
        <c:ser>
          <c:idx val="1"/>
          <c:order val="1"/>
          <c:tx>
            <c:strRef>
              <c:f>Utilization!$B$21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Utilization!$D$5:$I$5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Utilization!$D$21:$I$21</c:f>
              <c:numCache>
                <c:formatCode>_(0.0_)"days";\(0.0\)"days";_("–"_);_(@_)</c:formatCode>
                <c:ptCount val="6"/>
                <c:pt idx="0">
                  <c:v>142.44179220150579</c:v>
                </c:pt>
                <c:pt idx="1">
                  <c:v>142.44179220150579</c:v>
                </c:pt>
                <c:pt idx="2">
                  <c:v>142.44179220150579</c:v>
                </c:pt>
                <c:pt idx="3">
                  <c:v>142.44179220150579</c:v>
                </c:pt>
                <c:pt idx="4">
                  <c:v>142.44179220150579</c:v>
                </c:pt>
                <c:pt idx="5">
                  <c:v>142.44179220150579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40-41F3-86DF-031763AC6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_(0.0_)&quot;days&quot;;\(0.0\)&quot;days&quot;;_(&quot;–&quot;_);_(@_)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Cash Conversion Cycle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Utilization!$B$23</c:f>
              <c:strCache>
                <c:ptCount val="1"/>
                <c:pt idx="0">
                  <c:v>Cash Conversion Cycle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Utilization!$D$5:$I$5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Utilization!$E$23:$I$23</c:f>
              <c:numCache>
                <c:formatCode>_(0.0_)"days";\(0.0\)"days";_("–"_);_(@_)</c:formatCode>
                <c:ptCount val="5"/>
                <c:pt idx="0">
                  <c:v>-34.93145079777274</c:v>
                </c:pt>
                <c:pt idx="1">
                  <c:v>-18.230847825410351</c:v>
                </c:pt>
                <c:pt idx="2">
                  <c:v>18.402154328519345</c:v>
                </c:pt>
                <c:pt idx="3">
                  <c:v>36.259926132076828</c:v>
                </c:pt>
                <c:pt idx="4">
                  <c:v>49.955930791013188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FB-493F-9720-ED80400CF6A0}"/>
            </c:ext>
          </c:extLst>
        </c:ser>
        <c:ser>
          <c:idx val="1"/>
          <c:order val="1"/>
          <c:tx>
            <c:strRef>
              <c:f>Utilization!$B$24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Utilization!$D$5:$I$5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Utilization!$D$24:$I$24</c:f>
              <c:numCache>
                <c:formatCode>_(0.0_)"days";\(0.0\)"days";_("–"_);_(@_)</c:formatCode>
                <c:ptCount val="6"/>
                <c:pt idx="0">
                  <c:v>1.3263531400213135</c:v>
                </c:pt>
                <c:pt idx="1">
                  <c:v>1.3263531400213135</c:v>
                </c:pt>
                <c:pt idx="2">
                  <c:v>1.3263531400213135</c:v>
                </c:pt>
                <c:pt idx="3">
                  <c:v>1.3263531400213135</c:v>
                </c:pt>
                <c:pt idx="4">
                  <c:v>1.3263531400213135</c:v>
                </c:pt>
                <c:pt idx="5">
                  <c:v>1.3263531400213135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FB-493F-9720-ED80400CF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_(0.0_)&quot;days&quot;;\(0.0\)&quot;days&quot;;_(&quot;–&quot;_);_(@_)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Debt to EBITDA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Leverage!$B$11</c:f>
              <c:strCache>
                <c:ptCount val="1"/>
                <c:pt idx="0">
                  <c:v>Debt to 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Leverage!$D$5:$I$5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Leverage!$D$11:$I$11</c:f>
              <c:numCache>
                <c:formatCode>_(0.00\x_);\(0.00\x\);_("–"_);_(@_)</c:formatCode>
                <c:ptCount val="6"/>
                <c:pt idx="0">
                  <c:v>2.3843461992152362</c:v>
                </c:pt>
                <c:pt idx="1">
                  <c:v>1.7173036225813381</c:v>
                </c:pt>
                <c:pt idx="2">
                  <c:v>1.585345005968064</c:v>
                </c:pt>
                <c:pt idx="3">
                  <c:v>1.086640458240959</c:v>
                </c:pt>
                <c:pt idx="4">
                  <c:v>1.3121359405729747</c:v>
                </c:pt>
                <c:pt idx="5">
                  <c:v>1.0406140453419117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9-48B6-9275-85BCE5AD5825}"/>
            </c:ext>
          </c:extLst>
        </c:ser>
        <c:ser>
          <c:idx val="1"/>
          <c:order val="1"/>
          <c:tx>
            <c:strRef>
              <c:f>Leverage!$B$12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Leverage!$D$5:$I$5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Leverage!$D$12:$I$12</c:f>
              <c:numCache>
                <c:formatCode>_(0.00\x_);\(0.00\x\);_("–"_);_(@_)</c:formatCode>
                <c:ptCount val="6"/>
                <c:pt idx="0">
                  <c:v>1.5210642119867472</c:v>
                </c:pt>
                <c:pt idx="1">
                  <c:v>1.5210642119867472</c:v>
                </c:pt>
                <c:pt idx="2">
                  <c:v>1.5210642119867472</c:v>
                </c:pt>
                <c:pt idx="3">
                  <c:v>1.5210642119867472</c:v>
                </c:pt>
                <c:pt idx="4">
                  <c:v>1.5210642119867472</c:v>
                </c:pt>
                <c:pt idx="5">
                  <c:v>1.5210642119867472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99-48B6-9275-85BCE5AD5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_(0.00\x_);\(0.00\x\);_(&quot;–&quot;_);_(@_)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Debt to Equity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Leverage!$B$8</c:f>
              <c:strCache>
                <c:ptCount val="1"/>
                <c:pt idx="0">
                  <c:v>Debt to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Leverage!$D$5:$I$5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Leverage!$D$8:$I$8</c:f>
              <c:numCache>
                <c:formatCode>_(0.00\x_);\(0.00\x\);_("–"_);_(@_)</c:formatCode>
                <c:ptCount val="6"/>
                <c:pt idx="0">
                  <c:v>1.522881124790689</c:v>
                </c:pt>
                <c:pt idx="1">
                  <c:v>1.1892882207599114</c:v>
                </c:pt>
                <c:pt idx="2">
                  <c:v>1.0804199982555147</c:v>
                </c:pt>
                <c:pt idx="3">
                  <c:v>0.80673752744557947</c:v>
                </c:pt>
                <c:pt idx="4">
                  <c:v>0.94599572481442118</c:v>
                </c:pt>
                <c:pt idx="5">
                  <c:v>0.7367586420765404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0D-41D2-B2F1-AE6B7150634F}"/>
            </c:ext>
          </c:extLst>
        </c:ser>
        <c:ser>
          <c:idx val="1"/>
          <c:order val="1"/>
          <c:tx>
            <c:strRef>
              <c:f>Leverage!$B$9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Leverage!$D$5:$I$5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Leverage!$D$9:$I$9</c:f>
              <c:numCache>
                <c:formatCode>_(0.00\x_);\(0.00\x\);_("–"_);_(@_)</c:formatCode>
                <c:ptCount val="6"/>
                <c:pt idx="0">
                  <c:v>1.0470135396904425</c:v>
                </c:pt>
                <c:pt idx="1">
                  <c:v>1.0470135396904425</c:v>
                </c:pt>
                <c:pt idx="2">
                  <c:v>1.0470135396904425</c:v>
                </c:pt>
                <c:pt idx="3">
                  <c:v>1.0470135396904425</c:v>
                </c:pt>
                <c:pt idx="4">
                  <c:v>1.0470135396904425</c:v>
                </c:pt>
                <c:pt idx="5">
                  <c:v>1.0470135396904425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0D-41D2-B2F1-AE6B71506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_(0.00\x_);\(0.00\x\);_(&quot;–&quot;_);_(@_)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Inventory Days</a:t>
            </a:r>
            <a:r>
              <a:rPr lang="en-US" sz="1400" b="0" i="0" u="none" strike="noStrike" baseline="0">
                <a:effectLst/>
              </a:rPr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Leverage!$B$44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Leverage!$D$5:$I$5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Leverage!$D$44:$I$44</c:f>
              <c:numCache>
                <c:formatCode>_(0.00\x_);\(0.00\x\);_("–"_);_(@_)</c:formatCode>
                <c:ptCount val="6"/>
                <c:pt idx="0">
                  <c:v>1.1328697198046205</c:v>
                </c:pt>
                <c:pt idx="1">
                  <c:v>1.2890150290664226</c:v>
                </c:pt>
                <c:pt idx="2">
                  <c:v>1.1252712893013317</c:v>
                </c:pt>
                <c:pt idx="3">
                  <c:v>1.0859009513050504</c:v>
                </c:pt>
                <c:pt idx="4">
                  <c:v>1.1278820925998918</c:v>
                </c:pt>
                <c:pt idx="5">
                  <c:v>1.1567969441973702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FE-4A41-9D3E-5F5A5C065F94}"/>
            </c:ext>
          </c:extLst>
        </c:ser>
        <c:ser>
          <c:idx val="1"/>
          <c:order val="1"/>
          <c:tx>
            <c:strRef>
              <c:f>Leverage!$B$45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Leverage!$D$5:$I$5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Leverage!$D$45:$I$45</c:f>
              <c:numCache>
                <c:formatCode>_(0.00\x_);\(0.00\x\);_("–"_);_(@_)</c:formatCode>
                <c:ptCount val="6"/>
                <c:pt idx="0">
                  <c:v>1.1529560043791145</c:v>
                </c:pt>
                <c:pt idx="1">
                  <c:v>1.1529560043791145</c:v>
                </c:pt>
                <c:pt idx="2">
                  <c:v>1.1529560043791145</c:v>
                </c:pt>
                <c:pt idx="3">
                  <c:v>1.1529560043791145</c:v>
                </c:pt>
                <c:pt idx="4">
                  <c:v>1.1529560043791145</c:v>
                </c:pt>
                <c:pt idx="5">
                  <c:v>1.1529560043791145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FE-4A41-9D3E-5F5A5C065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_(0.00\x_);\(0.00\x\);_(&quot;–&quot;_);_(@_)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A/R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Leverage!$B$41</c:f>
              <c:strCache>
                <c:ptCount val="1"/>
                <c:pt idx="0">
                  <c:v>Current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Leverage!$D$5:$I$5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Leverage!$D$41:$I$41</c:f>
              <c:numCache>
                <c:formatCode>_(0.00\x_);\(0.00\x\);_("–"_);_(@_)</c:formatCode>
                <c:ptCount val="6"/>
                <c:pt idx="0">
                  <c:v>1.332397818180558</c:v>
                </c:pt>
                <c:pt idx="1">
                  <c:v>1.5358353468885322</c:v>
                </c:pt>
                <c:pt idx="2">
                  <c:v>1.3568797456317359</c:v>
                </c:pt>
                <c:pt idx="3">
                  <c:v>1.4249938331408796</c:v>
                </c:pt>
                <c:pt idx="4">
                  <c:v>1.4400502937243003</c:v>
                </c:pt>
                <c:pt idx="5">
                  <c:v>1.5040739982110884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5D-4099-A0D7-7E9B88546DCE}"/>
            </c:ext>
          </c:extLst>
        </c:ser>
        <c:ser>
          <c:idx val="1"/>
          <c:order val="1"/>
          <c:tx>
            <c:strRef>
              <c:f>Leverage!$B$42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Leverage!$D$5:$I$5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Leverage!$D$42:$I$42</c:f>
              <c:numCache>
                <c:formatCode>_(0.00\x_);\(0.00\x\);_("–"_);_(@_)</c:formatCode>
                <c:ptCount val="6"/>
                <c:pt idx="0">
                  <c:v>1.4323718392961824</c:v>
                </c:pt>
                <c:pt idx="1">
                  <c:v>1.4323718392961824</c:v>
                </c:pt>
                <c:pt idx="2">
                  <c:v>1.4323718392961824</c:v>
                </c:pt>
                <c:pt idx="3">
                  <c:v>1.4323718392961824</c:v>
                </c:pt>
                <c:pt idx="4">
                  <c:v>1.4323718392961824</c:v>
                </c:pt>
                <c:pt idx="5">
                  <c:v>1.4323718392961824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5D-4099-A0D7-7E9B88546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_(0.00\x_);\(0.00\x\);_(&quot;–&quot;_);_(@_)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EBITDA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Growth!$B$11</c:f>
              <c:strCache>
                <c:ptCount val="1"/>
                <c:pt idx="0">
                  <c:v>EBITDA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Growth!$D$5:$I$5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Growth!$D$11:$I$11</c:f>
              <c:numCache>
                <c:formatCode>0%</c:formatCode>
                <c:ptCount val="6"/>
                <c:pt idx="1">
                  <c:v>0.34015159735518447</c:v>
                </c:pt>
                <c:pt idx="2">
                  <c:v>0.15810227642987781</c:v>
                </c:pt>
                <c:pt idx="3">
                  <c:v>0.28533209442678115</c:v>
                </c:pt>
                <c:pt idx="4">
                  <c:v>0.12056723899996227</c:v>
                </c:pt>
                <c:pt idx="5">
                  <c:v>8.4995740896165559E-2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E8-4A60-A799-10F0BAA835A9}"/>
            </c:ext>
          </c:extLst>
        </c:ser>
        <c:ser>
          <c:idx val="1"/>
          <c:order val="1"/>
          <c:tx>
            <c:strRef>
              <c:f>Growth!$B$12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Growth!$D$5:$I$5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Growth!$D$12:$I$12</c:f>
              <c:numCache>
                <c:formatCode>0%</c:formatCode>
                <c:ptCount val="6"/>
                <c:pt idx="1">
                  <c:v>0.19782978962159423</c:v>
                </c:pt>
                <c:pt idx="2">
                  <c:v>0.19782978962159423</c:v>
                </c:pt>
                <c:pt idx="3">
                  <c:v>0.19782978962159423</c:v>
                </c:pt>
                <c:pt idx="4">
                  <c:v>0.19782978962159423</c:v>
                </c:pt>
                <c:pt idx="5">
                  <c:v>0.19782978962159423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E8-4A60-A799-10F0BAA83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Growth!$B$8</c:f>
              <c:strCache>
                <c:ptCount val="1"/>
                <c:pt idx="0">
                  <c:v>Revenue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Growth!$D$5:$I$5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Growth!$D$8:$I$8</c:f>
              <c:numCache>
                <c:formatCode>0%</c:formatCode>
                <c:ptCount val="6"/>
                <c:pt idx="1">
                  <c:v>0.23443735024380091</c:v>
                </c:pt>
                <c:pt idx="2">
                  <c:v>0.19301813624969386</c:v>
                </c:pt>
                <c:pt idx="3">
                  <c:v>0.17170723971758817</c:v>
                </c:pt>
                <c:pt idx="4">
                  <c:v>0.11834249949666223</c:v>
                </c:pt>
                <c:pt idx="5">
                  <c:v>7.0259596553250814E-2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24-4AE9-BD57-1D302E940336}"/>
            </c:ext>
          </c:extLst>
        </c:ser>
        <c:ser>
          <c:idx val="1"/>
          <c:order val="1"/>
          <c:tx>
            <c:strRef>
              <c:f>Growth!$B$9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Growth!$D$5:$I$5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Growth!$D$9:$I$9</c:f>
              <c:numCache>
                <c:formatCode>0%</c:formatCode>
                <c:ptCount val="6"/>
                <c:pt idx="1">
                  <c:v>0.15755296445219918</c:v>
                </c:pt>
                <c:pt idx="2">
                  <c:v>0.15755296445219918</c:v>
                </c:pt>
                <c:pt idx="3">
                  <c:v>0.15755296445219918</c:v>
                </c:pt>
                <c:pt idx="4">
                  <c:v>0.15755296445219918</c:v>
                </c:pt>
                <c:pt idx="5">
                  <c:v>0.15755296445219918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24-4AE9-BD57-1D302E940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Asset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Growth!$B$17</c:f>
              <c:strCache>
                <c:ptCount val="1"/>
                <c:pt idx="0">
                  <c:v>Total Asset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Growth!$D$5:$I$5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Growth!$D$17:$I$17</c:f>
              <c:numCache>
                <c:formatCode>0%</c:formatCode>
                <c:ptCount val="6"/>
                <c:pt idx="1">
                  <c:v>9.6048145279011801E-2</c:v>
                </c:pt>
                <c:pt idx="2">
                  <c:v>0.13146606580748466</c:v>
                </c:pt>
                <c:pt idx="3">
                  <c:v>3.6762233700150006E-2</c:v>
                </c:pt>
                <c:pt idx="4">
                  <c:v>0.17957744029792908</c:v>
                </c:pt>
                <c:pt idx="5">
                  <c:v>1.3815308304200019E-2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D8-48C3-908F-BEE9D60EDB45}"/>
            </c:ext>
          </c:extLst>
        </c:ser>
        <c:ser>
          <c:idx val="1"/>
          <c:order val="1"/>
          <c:tx>
            <c:strRef>
              <c:f>Growth!$B$18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Growth!$D$5:$I$5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Growth!$D$18:$I$18</c:f>
              <c:numCache>
                <c:formatCode>0%</c:formatCode>
                <c:ptCount val="6"/>
                <c:pt idx="1">
                  <c:v>9.1533838677755122E-2</c:v>
                </c:pt>
                <c:pt idx="2">
                  <c:v>9.1533838677755122E-2</c:v>
                </c:pt>
                <c:pt idx="3">
                  <c:v>9.1533838677755122E-2</c:v>
                </c:pt>
                <c:pt idx="4">
                  <c:v>9.1533838677755122E-2</c:v>
                </c:pt>
                <c:pt idx="5">
                  <c:v>9.1533838677755122E-2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D8-48C3-908F-BEE9D60ED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 Income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Growth!$B$14</c:f>
              <c:strCache>
                <c:ptCount val="1"/>
                <c:pt idx="0">
                  <c:v>Net Income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Growth!$D$5:$I$5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Growth!$D$14:$I$14</c:f>
              <c:numCache>
                <c:formatCode>0%</c:formatCode>
                <c:ptCount val="6"/>
                <c:pt idx="1">
                  <c:v>0.36830902640914465</c:v>
                </c:pt>
                <c:pt idx="2">
                  <c:v>0.12741977300224694</c:v>
                </c:pt>
                <c:pt idx="3">
                  <c:v>0.33872568120311636</c:v>
                </c:pt>
                <c:pt idx="4">
                  <c:v>0.21349119691567983</c:v>
                </c:pt>
                <c:pt idx="5">
                  <c:v>4.8234728978650818E-2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41-4AB2-A352-BDDF20CEB359}"/>
            </c:ext>
          </c:extLst>
        </c:ser>
        <c:ser>
          <c:idx val="1"/>
          <c:order val="1"/>
          <c:tx>
            <c:strRef>
              <c:f>Growth!$B$15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Growth!$D$5:$I$5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Growth!$D$15:$I$15</c:f>
              <c:numCache>
                <c:formatCode>0%</c:formatCode>
                <c:ptCount val="6"/>
                <c:pt idx="1">
                  <c:v>0.21923608130176775</c:v>
                </c:pt>
                <c:pt idx="2">
                  <c:v>0.21923608130176775</c:v>
                </c:pt>
                <c:pt idx="3">
                  <c:v>0.21923608130176775</c:v>
                </c:pt>
                <c:pt idx="4">
                  <c:v>0.21923608130176775</c:v>
                </c:pt>
                <c:pt idx="5">
                  <c:v>0.21923608130176775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41-4AB2-A352-BDDF20CEB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984159"/>
        <c:axId val="264584991"/>
      </c:lineChart>
      <c:catAx>
        <c:axId val="6909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991"/>
        <c:crosses val="autoZero"/>
        <c:auto val="1"/>
        <c:lblAlgn val="ctr"/>
        <c:lblOffset val="100"/>
        <c:noMultiLvlLbl val="0"/>
      </c:catAx>
      <c:valAx>
        <c:axId val="264584991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84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image" Target="../media/image2.pn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image" Target="../media/image2.png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image" Target="../media/image2.png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12</xdr:row>
      <xdr:rowOff>171450</xdr:rowOff>
    </xdr:from>
    <xdr:to>
      <xdr:col>12</xdr:col>
      <xdr:colOff>409575</xdr:colOff>
      <xdr:row>33</xdr:row>
      <xdr:rowOff>144288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11AB7A6-600F-7AD4-8E3E-BA47081F1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3705225"/>
          <a:ext cx="7258050" cy="4087638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</xdr:col>
      <xdr:colOff>161925</xdr:colOff>
      <xdr:row>1</xdr:row>
      <xdr:rowOff>9525</xdr:rowOff>
    </xdr:from>
    <xdr:to>
      <xdr:col>2</xdr:col>
      <xdr:colOff>371474</xdr:colOff>
      <xdr:row>1</xdr:row>
      <xdr:rowOff>828673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7827F3-218B-4E4A-85C2-C1C886310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00025"/>
          <a:ext cx="819149" cy="8191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2</xdr:col>
      <xdr:colOff>9524</xdr:colOff>
      <xdr:row>1</xdr:row>
      <xdr:rowOff>95248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8AC92E7-5C9F-0A59-FA71-58762CD0B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0"/>
          <a:ext cx="819149" cy="8191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828674</xdr:colOff>
      <xdr:row>1</xdr:row>
      <xdr:rowOff>76198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53C7B9-DF4E-45E1-A813-989DA5502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0"/>
          <a:ext cx="819149" cy="8191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47624</xdr:colOff>
      <xdr:row>0</xdr:row>
      <xdr:rowOff>819148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2485B0-81FA-4333-9D7A-EB8F246E6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0"/>
          <a:ext cx="819149" cy="8191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209549</xdr:colOff>
      <xdr:row>1</xdr:row>
      <xdr:rowOff>9523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5F4A07-08B9-4849-AB7B-E06C10D82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0"/>
          <a:ext cx="819149" cy="8191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0</xdr:rowOff>
    </xdr:from>
    <xdr:to>
      <xdr:col>1</xdr:col>
      <xdr:colOff>752475</xdr:colOff>
      <xdr:row>1</xdr:row>
      <xdr:rowOff>66674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2821B7-CCBA-4CE1-9C3D-064FA7806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0"/>
          <a:ext cx="790575" cy="790574"/>
        </a:xfrm>
        <a:prstGeom prst="rect">
          <a:avLst/>
        </a:prstGeom>
      </xdr:spPr>
    </xdr:pic>
    <xdr:clientData/>
  </xdr:twoCellAnchor>
  <xdr:twoCellAnchor>
    <xdr:from>
      <xdr:col>3</xdr:col>
      <xdr:colOff>423863</xdr:colOff>
      <xdr:row>28</xdr:row>
      <xdr:rowOff>19050</xdr:rowOff>
    </xdr:from>
    <xdr:to>
      <xdr:col>10</xdr:col>
      <xdr:colOff>9526</xdr:colOff>
      <xdr:row>42</xdr:row>
      <xdr:rowOff>90488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AEA27F-4494-43ED-8700-68FB74162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</xdr:colOff>
      <xdr:row>28</xdr:row>
      <xdr:rowOff>19050</xdr:rowOff>
    </xdr:from>
    <xdr:to>
      <xdr:col>3</xdr:col>
      <xdr:colOff>338138</xdr:colOff>
      <xdr:row>42</xdr:row>
      <xdr:rowOff>90488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4A81BC-D4D6-427E-B3DB-88B6B42C7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423863</xdr:colOff>
      <xdr:row>44</xdr:row>
      <xdr:rowOff>28575</xdr:rowOff>
    </xdr:from>
    <xdr:to>
      <xdr:col>10</xdr:col>
      <xdr:colOff>9526</xdr:colOff>
      <xdr:row>58</xdr:row>
      <xdr:rowOff>100013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9FA269-C822-4EC7-BA53-DDB5268C9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57150</xdr:colOff>
      <xdr:row>44</xdr:row>
      <xdr:rowOff>28575</xdr:rowOff>
    </xdr:from>
    <xdr:to>
      <xdr:col>3</xdr:col>
      <xdr:colOff>338138</xdr:colOff>
      <xdr:row>58</xdr:row>
      <xdr:rowOff>100013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1BF69D-56B7-4C0C-A579-ED0F9123E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76200</xdr:colOff>
      <xdr:row>59</xdr:row>
      <xdr:rowOff>57150</xdr:rowOff>
    </xdr:from>
    <xdr:to>
      <xdr:col>3</xdr:col>
      <xdr:colOff>357188</xdr:colOff>
      <xdr:row>73</xdr:row>
      <xdr:rowOff>128588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106B31-15B7-4A8D-9BA1-94084957C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0</xdr:rowOff>
    </xdr:from>
    <xdr:to>
      <xdr:col>1</xdr:col>
      <xdr:colOff>752475</xdr:colOff>
      <xdr:row>1</xdr:row>
      <xdr:rowOff>66674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A91CFD-959B-433C-B9F4-1881F38EB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0"/>
          <a:ext cx="790575" cy="790574"/>
        </a:xfrm>
        <a:prstGeom prst="rect">
          <a:avLst/>
        </a:prstGeom>
      </xdr:spPr>
    </xdr:pic>
    <xdr:clientData/>
  </xdr:twoCellAnchor>
  <xdr:twoCellAnchor>
    <xdr:from>
      <xdr:col>3</xdr:col>
      <xdr:colOff>423863</xdr:colOff>
      <xdr:row>31</xdr:row>
      <xdr:rowOff>19050</xdr:rowOff>
    </xdr:from>
    <xdr:to>
      <xdr:col>10</xdr:col>
      <xdr:colOff>9526</xdr:colOff>
      <xdr:row>45</xdr:row>
      <xdr:rowOff>90488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4531E-0BCB-45B8-A7A8-D964EA122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</xdr:colOff>
      <xdr:row>31</xdr:row>
      <xdr:rowOff>19050</xdr:rowOff>
    </xdr:from>
    <xdr:to>
      <xdr:col>3</xdr:col>
      <xdr:colOff>338138</xdr:colOff>
      <xdr:row>45</xdr:row>
      <xdr:rowOff>90488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E29792-5820-49AE-AF64-81999E647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423863</xdr:colOff>
      <xdr:row>47</xdr:row>
      <xdr:rowOff>28575</xdr:rowOff>
    </xdr:from>
    <xdr:to>
      <xdr:col>10</xdr:col>
      <xdr:colOff>9526</xdr:colOff>
      <xdr:row>61</xdr:row>
      <xdr:rowOff>100013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C2271A-F292-40AB-B30B-E18380BB7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57150</xdr:colOff>
      <xdr:row>47</xdr:row>
      <xdr:rowOff>28575</xdr:rowOff>
    </xdr:from>
    <xdr:to>
      <xdr:col>3</xdr:col>
      <xdr:colOff>338138</xdr:colOff>
      <xdr:row>61</xdr:row>
      <xdr:rowOff>100013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678958-3C3E-4CD8-873F-9CE63701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76200</xdr:colOff>
      <xdr:row>62</xdr:row>
      <xdr:rowOff>57150</xdr:rowOff>
    </xdr:from>
    <xdr:to>
      <xdr:col>3</xdr:col>
      <xdr:colOff>357188</xdr:colOff>
      <xdr:row>76</xdr:row>
      <xdr:rowOff>128588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514D10-92F3-4517-914A-EDE2B5937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447675</xdr:colOff>
      <xdr:row>62</xdr:row>
      <xdr:rowOff>57150</xdr:rowOff>
    </xdr:from>
    <xdr:to>
      <xdr:col>10</xdr:col>
      <xdr:colOff>33338</xdr:colOff>
      <xdr:row>76</xdr:row>
      <xdr:rowOff>128588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9EE5BD-02D7-4CF3-A5A8-FD5348624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0</xdr:rowOff>
    </xdr:from>
    <xdr:to>
      <xdr:col>1</xdr:col>
      <xdr:colOff>752475</xdr:colOff>
      <xdr:row>1</xdr:row>
      <xdr:rowOff>66674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DF1961-3ED0-4EF3-BB56-91E3747DE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0"/>
          <a:ext cx="790575" cy="790574"/>
        </a:xfrm>
        <a:prstGeom prst="rect">
          <a:avLst/>
        </a:prstGeom>
      </xdr:spPr>
    </xdr:pic>
    <xdr:clientData/>
  </xdr:twoCellAnchor>
  <xdr:twoCellAnchor>
    <xdr:from>
      <xdr:col>3</xdr:col>
      <xdr:colOff>414337</xdr:colOff>
      <xdr:row>14</xdr:row>
      <xdr:rowOff>0</xdr:rowOff>
    </xdr:from>
    <xdr:to>
      <xdr:col>10</xdr:col>
      <xdr:colOff>0</xdr:colOff>
      <xdr:row>28</xdr:row>
      <xdr:rowOff>71438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A5C3AD-925F-4F55-8024-217419788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47624</xdr:colOff>
      <xdr:row>14</xdr:row>
      <xdr:rowOff>0</xdr:rowOff>
    </xdr:from>
    <xdr:to>
      <xdr:col>3</xdr:col>
      <xdr:colOff>328612</xdr:colOff>
      <xdr:row>28</xdr:row>
      <xdr:rowOff>71438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0B3A4A-C1B2-4A54-8DD4-82A9A74C3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642937</xdr:colOff>
      <xdr:row>47</xdr:row>
      <xdr:rowOff>119062</xdr:rowOff>
    </xdr:from>
    <xdr:to>
      <xdr:col>11</xdr:col>
      <xdr:colOff>9525</xdr:colOff>
      <xdr:row>62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FCE897-2CB8-4C1A-B0BE-9A009E060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47</xdr:row>
      <xdr:rowOff>80962</xdr:rowOff>
    </xdr:from>
    <xdr:to>
      <xdr:col>3</xdr:col>
      <xdr:colOff>280988</xdr:colOff>
      <xdr:row>61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F78727-E045-43E7-B2F2-E2C880A50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0</xdr:rowOff>
    </xdr:from>
    <xdr:to>
      <xdr:col>1</xdr:col>
      <xdr:colOff>752475</xdr:colOff>
      <xdr:row>1</xdr:row>
      <xdr:rowOff>66674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629DF7-4FAE-429D-9551-395DF1552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0"/>
          <a:ext cx="790575" cy="790574"/>
        </a:xfrm>
        <a:prstGeom prst="rect">
          <a:avLst/>
        </a:prstGeom>
      </xdr:spPr>
    </xdr:pic>
    <xdr:clientData/>
  </xdr:twoCellAnchor>
  <xdr:twoCellAnchor>
    <xdr:from>
      <xdr:col>3</xdr:col>
      <xdr:colOff>423863</xdr:colOff>
      <xdr:row>25</xdr:row>
      <xdr:rowOff>19050</xdr:rowOff>
    </xdr:from>
    <xdr:to>
      <xdr:col>10</xdr:col>
      <xdr:colOff>9526</xdr:colOff>
      <xdr:row>39</xdr:row>
      <xdr:rowOff>90488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EE6457-3538-3CB0-A554-E15F09A65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</xdr:colOff>
      <xdr:row>25</xdr:row>
      <xdr:rowOff>19050</xdr:rowOff>
    </xdr:from>
    <xdr:to>
      <xdr:col>3</xdr:col>
      <xdr:colOff>338138</xdr:colOff>
      <xdr:row>39</xdr:row>
      <xdr:rowOff>90488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AE4F3CE-F207-4E82-B66B-5611234A6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423863</xdr:colOff>
      <xdr:row>41</xdr:row>
      <xdr:rowOff>28575</xdr:rowOff>
    </xdr:from>
    <xdr:to>
      <xdr:col>10</xdr:col>
      <xdr:colOff>9526</xdr:colOff>
      <xdr:row>55</xdr:row>
      <xdr:rowOff>100013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82C8860-2AE4-418A-91FC-4E9B94919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57150</xdr:colOff>
      <xdr:row>41</xdr:row>
      <xdr:rowOff>28575</xdr:rowOff>
    </xdr:from>
    <xdr:to>
      <xdr:col>3</xdr:col>
      <xdr:colOff>338138</xdr:colOff>
      <xdr:row>55</xdr:row>
      <xdr:rowOff>100013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BE86768-2F42-447E-B249-4FEE584BE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6CE6A7-FC40-405B-ABFC-37AE79A746DB}">
  <we:reference id="wa200009333" version="2.0.0.0" store="en-US" storeType="OMEX"/>
  <we:alternateReferences>
    <we:reference id="WA200009333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linkedin.com/in/m-salama1996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linkedin.com/in/m-salama1996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inkedin.com/in/m-salama1996/" TargetMode="Externa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linkedin.com/in/m-salama1996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ww.linkedin.com/in/m-salama1996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www.linkedin.com/in/m-salama1996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www.linkedin.com/in/m-salama1996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www.linkedin.com/in/m-salama1996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www.linkedin.com/in/m-salama199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79A7-BA9D-4CFF-A3E9-ACCA0CF26C8A}">
  <dimension ref="A2:AF33"/>
  <sheetViews>
    <sheetView showGridLines="0" workbookViewId="0">
      <selection activeCell="T2" sqref="T2"/>
    </sheetView>
  </sheetViews>
  <sheetFormatPr defaultRowHeight="15"/>
  <cols>
    <col min="1" max="1" width="6.140625" style="139" customWidth="1"/>
    <col min="2" max="12" width="9.140625" style="139"/>
    <col min="13" max="13" width="8.42578125" style="139" customWidth="1"/>
    <col min="14" max="16384" width="9.140625" style="139"/>
  </cols>
  <sheetData>
    <row r="2" spans="1:32" ht="67.5" customHeight="1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56" t="s">
        <v>206</v>
      </c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</row>
    <row r="4" spans="1:32" ht="34.5">
      <c r="B4" s="141" t="s">
        <v>213</v>
      </c>
    </row>
    <row r="5" spans="1:32" ht="24">
      <c r="B5" s="142" t="s">
        <v>194</v>
      </c>
    </row>
    <row r="8" spans="1:32" ht="19.5">
      <c r="B8" s="17" t="s">
        <v>199</v>
      </c>
      <c r="O8" s="145" t="s">
        <v>200</v>
      </c>
    </row>
    <row r="9" spans="1:32" ht="18.75">
      <c r="A9" s="139">
        <v>1</v>
      </c>
      <c r="B9" s="144" t="s">
        <v>195</v>
      </c>
      <c r="C9" s="144"/>
      <c r="I9" s="139">
        <v>5</v>
      </c>
      <c r="J9" s="172" t="s">
        <v>224</v>
      </c>
      <c r="K9" s="173"/>
      <c r="O9" s="139" t="s">
        <v>207</v>
      </c>
    </row>
    <row r="10" spans="1:32" ht="18.75">
      <c r="A10" s="139">
        <v>2</v>
      </c>
      <c r="B10" s="144" t="s">
        <v>196</v>
      </c>
      <c r="C10" s="144"/>
      <c r="I10" s="139">
        <v>6</v>
      </c>
      <c r="J10" s="172" t="s">
        <v>225</v>
      </c>
      <c r="K10" s="173"/>
      <c r="O10" s="139" t="s">
        <v>208</v>
      </c>
    </row>
    <row r="11" spans="1:32" ht="18.75">
      <c r="A11" s="139">
        <v>3</v>
      </c>
      <c r="B11" s="144" t="s">
        <v>197</v>
      </c>
      <c r="C11" s="144"/>
      <c r="I11" s="139">
        <v>7</v>
      </c>
      <c r="J11" s="172" t="s">
        <v>226</v>
      </c>
      <c r="K11" s="173"/>
      <c r="O11" s="139" t="s">
        <v>201</v>
      </c>
      <c r="P11" s="143" t="s">
        <v>202</v>
      </c>
      <c r="Q11" s="143"/>
    </row>
    <row r="12" spans="1:32" ht="18.75">
      <c r="A12" s="139">
        <v>4</v>
      </c>
      <c r="B12" s="144" t="s">
        <v>198</v>
      </c>
      <c r="C12" s="144"/>
      <c r="I12" s="139">
        <v>8</v>
      </c>
      <c r="J12" s="172" t="s">
        <v>227</v>
      </c>
      <c r="K12" s="173"/>
      <c r="O12" s="139" t="s">
        <v>209</v>
      </c>
    </row>
    <row r="13" spans="1:32" ht="15.75" thickBot="1"/>
    <row r="14" spans="1:32" ht="21.75" thickTop="1">
      <c r="O14" s="153" t="s">
        <v>203</v>
      </c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7"/>
    </row>
    <row r="15" spans="1:32" ht="15" customHeight="1">
      <c r="O15" s="174" t="s">
        <v>214</v>
      </c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6"/>
    </row>
    <row r="16" spans="1:32">
      <c r="O16" s="174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6"/>
    </row>
    <row r="17" spans="15:29" ht="15" customHeight="1">
      <c r="O17" s="174" t="s">
        <v>210</v>
      </c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6"/>
    </row>
    <row r="18" spans="15:29">
      <c r="O18" s="174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6"/>
    </row>
    <row r="19" spans="15:29">
      <c r="O19" s="174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6"/>
    </row>
    <row r="20" spans="15:29">
      <c r="O20" s="148" t="s">
        <v>204</v>
      </c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50"/>
    </row>
    <row r="21" spans="15:29">
      <c r="O21" s="148" t="s">
        <v>205</v>
      </c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50"/>
    </row>
    <row r="22" spans="15:29">
      <c r="O22" s="148" t="s">
        <v>211</v>
      </c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50"/>
    </row>
    <row r="23" spans="15:29">
      <c r="O23" s="148" t="s">
        <v>212</v>
      </c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50"/>
    </row>
    <row r="24" spans="15:29" ht="15" customHeight="1">
      <c r="O24" s="177" t="s">
        <v>215</v>
      </c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9"/>
    </row>
    <row r="25" spans="15:29">
      <c r="O25" s="177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9"/>
    </row>
    <row r="26" spans="15:29">
      <c r="O26" s="177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9"/>
    </row>
    <row r="27" spans="15:29">
      <c r="O27" s="154" t="s">
        <v>216</v>
      </c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50"/>
    </row>
    <row r="28" spans="15:29">
      <c r="O28" s="154" t="s">
        <v>217</v>
      </c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50"/>
    </row>
    <row r="29" spans="15:29">
      <c r="O29" s="154" t="s">
        <v>218</v>
      </c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50"/>
    </row>
    <row r="30" spans="15:29" ht="15.75" thickBot="1">
      <c r="O30" s="155" t="s">
        <v>219</v>
      </c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2"/>
    </row>
    <row r="31" spans="15:29" ht="15.75" thickTop="1"/>
    <row r="33" ht="15" customHeight="1"/>
  </sheetData>
  <sheetProtection algorithmName="SHA-512" hashValue="x7zhYsMJ3WGgRt5SEbMaixmK0pvtcrMXnS3jOHUdfLIS9yN5d9Z5YRWjleKkasLLUK41St1QaQAHW+4O/8M14w==" saltValue="6ANcRW2glhDJYa2w/WDe4w==" spinCount="100000" sheet="1" objects="1" scenarios="1"/>
  <mergeCells count="3">
    <mergeCell ref="O15:AC16"/>
    <mergeCell ref="O17:AC19"/>
    <mergeCell ref="O24:AC26"/>
  </mergeCells>
  <hyperlinks>
    <hyperlink ref="B9" location="'Financial Statements'!A1" display="Financial Statements (Standardized 3-Statement Model)" xr:uid="{D4CA07F1-CC86-4418-B1F3-AB7589572FBB}"/>
    <hyperlink ref="B10" location="'Ratio Calculations'!A1" display="Ratio Calculations (Liquidity, Turnover &amp; Leverage Ratios)" xr:uid="{D27E3427-AC01-4623-96CD-AD07FABDE5D5}"/>
    <hyperlink ref="B11" location="'3 Step DuPont Pyramid '!A1" display="3-Step DuPont Pyramid (ROE Deconstruction)" xr:uid="{DFE61741-13CD-4F0A-B5E9-8B58210E46EC}"/>
    <hyperlink ref="B12" location="'5 Step DuPont Pyramid '!A1" display="5-Step DuPont Pyramid (Extended Operating &amp; Burden Analysis)" xr:uid="{F593E9F1-3AEC-404B-9BA9-BEBBA8195E70}"/>
    <hyperlink ref="P11" r:id="rId1" xr:uid="{1341571B-B2EB-4B76-88C1-380D7477BCF2}"/>
    <hyperlink ref="J9" location="Profitability!A1" display="Profitability" xr:uid="{097F539D-599B-4095-A196-EDE2379109D0}"/>
    <hyperlink ref="J10" location="Utilization!A1" display="Utilization" xr:uid="{0372283C-300B-4507-BBD6-AB3306E544D5}"/>
    <hyperlink ref="J11" location="Leverage!A1" display="Leverage" xr:uid="{8CB1F5A7-9DBB-45DD-A844-A30A88DC88AF}"/>
    <hyperlink ref="J12" location="Growth!A1" display="Growth" xr:uid="{387C0E34-6725-4650-8751-BD499B44B31D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8F1B-3EDE-417C-872D-C1722795B613}">
  <dimension ref="A1:O161"/>
  <sheetViews>
    <sheetView showGridLines="0" workbookViewId="0">
      <selection activeCell="B5" sqref="B5:K5"/>
    </sheetView>
  </sheetViews>
  <sheetFormatPr defaultRowHeight="15"/>
  <cols>
    <col min="1" max="1" width="11.140625" style="5" customWidth="1"/>
    <col min="2" max="2" width="12.85546875" style="5" customWidth="1"/>
    <col min="3" max="3" width="10.85546875" style="5" customWidth="1"/>
    <col min="4" max="11" width="13" style="5" customWidth="1"/>
    <col min="12" max="12" width="2.7109375" style="5" customWidth="1"/>
    <col min="13" max="16384" width="9.140625" style="5"/>
  </cols>
  <sheetData>
    <row r="1" spans="1:15" ht="57" customHeight="1">
      <c r="A1" s="3"/>
      <c r="B1" s="4"/>
      <c r="C1" s="6"/>
      <c r="D1" s="4"/>
      <c r="E1" s="4"/>
      <c r="F1" s="4"/>
      <c r="G1" s="4"/>
      <c r="H1" s="4"/>
      <c r="I1" s="4"/>
      <c r="J1" s="4"/>
      <c r="K1" s="137" t="s">
        <v>193</v>
      </c>
    </row>
    <row r="3" spans="1:15" ht="20.25" thickBot="1">
      <c r="A3" s="5" t="s">
        <v>64</v>
      </c>
      <c r="B3" s="93" t="s">
        <v>0</v>
      </c>
      <c r="C3" s="93"/>
      <c r="D3" s="93"/>
      <c r="E3" s="93"/>
      <c r="F3" s="93"/>
      <c r="G3" s="93"/>
      <c r="H3" s="93"/>
      <c r="I3" s="93"/>
      <c r="J3" s="93"/>
      <c r="K3" s="93"/>
    </row>
    <row r="4" spans="1:15" ht="15.75" thickTop="1">
      <c r="O4" s="8"/>
    </row>
    <row r="5" spans="1:15" ht="15.75" thickBot="1">
      <c r="B5" s="5" t="s">
        <v>16</v>
      </c>
      <c r="F5" s="11">
        <v>2020</v>
      </c>
      <c r="G5" s="10">
        <v>2021</v>
      </c>
      <c r="H5" s="10">
        <v>2022</v>
      </c>
      <c r="I5" s="10">
        <v>2023</v>
      </c>
      <c r="J5" s="10">
        <v>2024</v>
      </c>
      <c r="K5" s="10">
        <v>2025</v>
      </c>
      <c r="O5" s="8"/>
    </row>
    <row r="6" spans="1:15">
      <c r="O6" s="9"/>
    </row>
    <row r="7" spans="1:15">
      <c r="O7" s="9"/>
    </row>
    <row r="8" spans="1:15">
      <c r="B8" s="5" t="s">
        <v>1</v>
      </c>
      <c r="F8" s="94">
        <v>3459790</v>
      </c>
      <c r="G8" s="94">
        <v>4270894</v>
      </c>
      <c r="H8" s="94">
        <v>5095254</v>
      </c>
      <c r="I8" s="94">
        <v>5970146</v>
      </c>
      <c r="J8" s="94">
        <v>6676668</v>
      </c>
      <c r="K8" s="94">
        <v>7145768</v>
      </c>
      <c r="O8" s="8"/>
    </row>
    <row r="9" spans="1:15">
      <c r="B9" s="5" t="s">
        <v>2</v>
      </c>
      <c r="F9" s="94">
        <v>-1686324</v>
      </c>
      <c r="G9" s="94">
        <v>-2080613</v>
      </c>
      <c r="H9" s="94">
        <v>-2648953</v>
      </c>
      <c r="I9" s="94">
        <v>-2995877</v>
      </c>
      <c r="J9" s="94">
        <v>-3329483</v>
      </c>
      <c r="K9" s="94">
        <v>-3452971</v>
      </c>
      <c r="O9" s="8"/>
    </row>
    <row r="10" spans="1:15">
      <c r="B10" s="5" t="s">
        <v>13</v>
      </c>
      <c r="F10" s="95">
        <v>217952</v>
      </c>
      <c r="G10" s="95">
        <v>230097</v>
      </c>
      <c r="H10" s="95">
        <v>259849</v>
      </c>
      <c r="I10" s="95">
        <v>290204</v>
      </c>
      <c r="J10" s="95">
        <v>299638</v>
      </c>
      <c r="K10" s="95">
        <v>298734</v>
      </c>
      <c r="O10" s="8"/>
    </row>
    <row r="11" spans="1:15">
      <c r="B11" s="7" t="s">
        <v>3</v>
      </c>
      <c r="F11" s="14">
        <f>SUM(F8:F10)</f>
        <v>1991418</v>
      </c>
      <c r="G11" s="14">
        <f t="shared" ref="G11:K11" si="0">SUM(G8:G10)</f>
        <v>2420378</v>
      </c>
      <c r="H11" s="14">
        <f t="shared" si="0"/>
        <v>2706150</v>
      </c>
      <c r="I11" s="14">
        <f t="shared" si="0"/>
        <v>3264473</v>
      </c>
      <c r="J11" s="14">
        <f t="shared" si="0"/>
        <v>3646823</v>
      </c>
      <c r="K11" s="14">
        <f t="shared" si="0"/>
        <v>3991531</v>
      </c>
      <c r="O11" s="8"/>
    </row>
    <row r="12" spans="1:15">
      <c r="O12" s="9"/>
    </row>
    <row r="13" spans="1:15">
      <c r="O13" s="9"/>
    </row>
    <row r="14" spans="1:15">
      <c r="B14" s="5" t="s">
        <v>4</v>
      </c>
      <c r="F14" s="96">
        <v>-336126</v>
      </c>
      <c r="G14" s="96">
        <v>-348024</v>
      </c>
      <c r="H14" s="96">
        <v>-427974</v>
      </c>
      <c r="I14" s="96">
        <v>-462580</v>
      </c>
      <c r="J14" s="96">
        <v>-561144</v>
      </c>
      <c r="K14" s="96">
        <v>-642490</v>
      </c>
      <c r="O14" s="8"/>
    </row>
    <row r="15" spans="1:15">
      <c r="B15" s="5" t="s">
        <v>5</v>
      </c>
      <c r="F15" s="96">
        <v>-707385</v>
      </c>
      <c r="G15" s="96">
        <v>-768104</v>
      </c>
      <c r="H15" s="96">
        <v>-775572</v>
      </c>
      <c r="I15" s="96">
        <v>-881559</v>
      </c>
      <c r="J15" s="96">
        <v>-894092</v>
      </c>
      <c r="K15" s="96">
        <v>-918861</v>
      </c>
      <c r="O15" s="8"/>
    </row>
    <row r="16" spans="1:15">
      <c r="B16" s="5" t="s">
        <v>63</v>
      </c>
      <c r="F16" s="96">
        <v>208685</v>
      </c>
      <c r="G16" s="96">
        <v>225892</v>
      </c>
      <c r="H16" s="96">
        <v>286376</v>
      </c>
      <c r="I16" s="96">
        <v>372101</v>
      </c>
      <c r="J16" s="96">
        <v>367139</v>
      </c>
      <c r="K16" s="96">
        <v>363202</v>
      </c>
      <c r="O16" s="8"/>
    </row>
    <row r="17" spans="2:15">
      <c r="B17" s="15" t="s">
        <v>14</v>
      </c>
      <c r="F17" s="96">
        <v>-18475</v>
      </c>
      <c r="G17" s="96">
        <v>-5561</v>
      </c>
      <c r="H17" s="96">
        <v>-21548</v>
      </c>
      <c r="I17" s="96">
        <v>-18898</v>
      </c>
      <c r="J17" s="96">
        <v>-12443</v>
      </c>
      <c r="K17" s="96">
        <v>-34302</v>
      </c>
      <c r="O17" s="8"/>
    </row>
    <row r="18" spans="2:15">
      <c r="B18" s="15" t="s">
        <v>15</v>
      </c>
      <c r="F18" s="97">
        <v>4647</v>
      </c>
      <c r="G18" s="97">
        <v>6896</v>
      </c>
      <c r="H18" s="97">
        <v>6175</v>
      </c>
      <c r="I18" s="97">
        <v>6137</v>
      </c>
      <c r="J18" s="97">
        <v>8245</v>
      </c>
      <c r="K18" s="97">
        <v>12572</v>
      </c>
      <c r="O18" s="9"/>
    </row>
    <row r="19" spans="2:15">
      <c r="B19" s="7" t="s">
        <v>6</v>
      </c>
      <c r="F19" s="14">
        <f t="shared" ref="F19:K19" si="1">SUM(F11:F18)</f>
        <v>1142764</v>
      </c>
      <c r="G19" s="14">
        <f t="shared" si="1"/>
        <v>1531477</v>
      </c>
      <c r="H19" s="14">
        <f t="shared" si="1"/>
        <v>1773607</v>
      </c>
      <c r="I19" s="14">
        <f t="shared" si="1"/>
        <v>2279674</v>
      </c>
      <c r="J19" s="14">
        <f t="shared" si="1"/>
        <v>2554528</v>
      </c>
      <c r="K19" s="14">
        <f t="shared" si="1"/>
        <v>2771652</v>
      </c>
      <c r="O19" s="9"/>
    </row>
    <row r="20" spans="2:15">
      <c r="O20" s="9"/>
    </row>
    <row r="21" spans="2:15">
      <c r="O21" s="8"/>
    </row>
    <row r="22" spans="2:15">
      <c r="B22" s="5" t="s">
        <v>13</v>
      </c>
      <c r="F22" s="97">
        <v>-426637</v>
      </c>
      <c r="G22" s="97">
        <v>-455989</v>
      </c>
      <c r="H22" s="97">
        <v>-546225</v>
      </c>
      <c r="I22" s="97">
        <v>-662305</v>
      </c>
      <c r="J22" s="97">
        <v>-666777</v>
      </c>
      <c r="K22" s="97">
        <v>-661937</v>
      </c>
      <c r="O22" s="8"/>
    </row>
    <row r="23" spans="2:15">
      <c r="B23" s="7" t="s">
        <v>7</v>
      </c>
      <c r="F23" s="14">
        <f>SUM(F19:F22)</f>
        <v>716127</v>
      </c>
      <c r="G23" s="14">
        <f t="shared" ref="G23:K23" si="2">SUM(G19:G22)</f>
        <v>1075488</v>
      </c>
      <c r="H23" s="14">
        <f t="shared" si="2"/>
        <v>1227382</v>
      </c>
      <c r="I23" s="14">
        <f t="shared" si="2"/>
        <v>1617369</v>
      </c>
      <c r="J23" s="14">
        <f t="shared" si="2"/>
        <v>1887751</v>
      </c>
      <c r="K23" s="14">
        <f t="shared" si="2"/>
        <v>2109715</v>
      </c>
      <c r="O23" s="9"/>
    </row>
    <row r="24" spans="2:15">
      <c r="O24" s="9"/>
    </row>
    <row r="25" spans="2:15">
      <c r="O25" s="8"/>
    </row>
    <row r="26" spans="2:15">
      <c r="B26" s="12" t="s">
        <v>8</v>
      </c>
      <c r="F26" s="96">
        <v>-49092</v>
      </c>
      <c r="G26" s="96">
        <v>-76256</v>
      </c>
      <c r="H26" s="96">
        <v>-133474</v>
      </c>
      <c r="I26" s="96">
        <v>-147334</v>
      </c>
      <c r="J26" s="96">
        <v>-145895</v>
      </c>
      <c r="K26" s="96">
        <v>-214226</v>
      </c>
      <c r="O26" s="8"/>
    </row>
    <row r="27" spans="2:15">
      <c r="B27" s="12" t="s">
        <v>9</v>
      </c>
      <c r="F27" s="97">
        <v>0</v>
      </c>
      <c r="G27" s="97">
        <v>42999</v>
      </c>
      <c r="H27" s="97">
        <v>83858</v>
      </c>
      <c r="I27" s="97">
        <v>132319</v>
      </c>
      <c r="J27" s="97">
        <v>147100</v>
      </c>
      <c r="K27" s="97">
        <v>168145</v>
      </c>
      <c r="O27" s="8"/>
    </row>
    <row r="28" spans="2:15">
      <c r="B28" s="13" t="s">
        <v>10</v>
      </c>
      <c r="F28" s="14">
        <f>SUM(F23:F27)</f>
        <v>667035</v>
      </c>
      <c r="G28" s="14">
        <f t="shared" ref="G28:K28" si="3">SUM(G23:G27)</f>
        <v>1042231</v>
      </c>
      <c r="H28" s="14">
        <f t="shared" si="3"/>
        <v>1177766</v>
      </c>
      <c r="I28" s="14">
        <f t="shared" si="3"/>
        <v>1602354</v>
      </c>
      <c r="J28" s="14">
        <f t="shared" si="3"/>
        <v>1888956</v>
      </c>
      <c r="K28" s="14">
        <f t="shared" si="3"/>
        <v>2063634</v>
      </c>
      <c r="O28" s="9"/>
    </row>
    <row r="30" spans="2:15">
      <c r="F30" s="25"/>
    </row>
    <row r="31" spans="2:15">
      <c r="B31" s="8" t="s">
        <v>11</v>
      </c>
      <c r="F31" s="96">
        <v>-58155</v>
      </c>
      <c r="G31" s="96">
        <v>-209095</v>
      </c>
      <c r="H31" s="96">
        <v>-238472</v>
      </c>
      <c r="I31" s="96">
        <v>-344897</v>
      </c>
      <c r="J31" s="96">
        <v>-363043</v>
      </c>
      <c r="K31" s="96">
        <v>-464119</v>
      </c>
    </row>
    <row r="34" spans="1:12" ht="15.75" thickBot="1">
      <c r="B34" s="9" t="s">
        <v>12</v>
      </c>
      <c r="F34" s="20">
        <f>SUM(F28:F33)</f>
        <v>608880</v>
      </c>
      <c r="G34" s="20">
        <f t="shared" ref="G34:K34" si="4">SUM(G28:G33)</f>
        <v>833136</v>
      </c>
      <c r="H34" s="20">
        <f t="shared" si="4"/>
        <v>939294</v>
      </c>
      <c r="I34" s="20">
        <f t="shared" si="4"/>
        <v>1257457</v>
      </c>
      <c r="J34" s="20">
        <f t="shared" si="4"/>
        <v>1525913</v>
      </c>
      <c r="K34" s="20">
        <f t="shared" si="4"/>
        <v>1599515</v>
      </c>
    </row>
    <row r="36" spans="1:12">
      <c r="B36" s="16"/>
      <c r="C36" s="16"/>
      <c r="D36" s="16"/>
      <c r="E36" s="16"/>
      <c r="F36" s="16"/>
      <c r="G36" s="19"/>
      <c r="H36" s="16"/>
      <c r="I36" s="16"/>
      <c r="J36" s="16"/>
      <c r="K36" s="16"/>
      <c r="L36" s="16"/>
    </row>
    <row r="38" spans="1:12" ht="20.25" thickBot="1">
      <c r="A38" s="5" t="s">
        <v>64</v>
      </c>
      <c r="B38" s="93" t="s">
        <v>62</v>
      </c>
      <c r="C38" s="93"/>
      <c r="D38" s="93"/>
      <c r="E38" s="93"/>
      <c r="F38" s="93"/>
      <c r="G38" s="93"/>
      <c r="H38" s="93"/>
      <c r="I38" s="93"/>
      <c r="J38" s="93"/>
      <c r="K38" s="93"/>
      <c r="L38" s="93"/>
    </row>
    <row r="39" spans="1:12" ht="15.75" thickTop="1"/>
    <row r="40" spans="1:12" ht="15.75" thickBot="1">
      <c r="B40" s="5" t="s">
        <v>16</v>
      </c>
      <c r="F40" s="11">
        <v>2020</v>
      </c>
      <c r="G40" s="10">
        <v>2021</v>
      </c>
      <c r="H40" s="10">
        <v>2022</v>
      </c>
      <c r="I40" s="10">
        <v>2023</v>
      </c>
      <c r="J40" s="10">
        <v>2024</v>
      </c>
      <c r="K40" s="10">
        <v>2025</v>
      </c>
    </row>
    <row r="43" spans="1:12">
      <c r="F43" s="21"/>
    </row>
    <row r="44" spans="1:12" ht="16.5">
      <c r="B44" s="18" t="s">
        <v>17</v>
      </c>
    </row>
    <row r="45" spans="1:12">
      <c r="B45" s="15" t="s">
        <v>18</v>
      </c>
      <c r="F45" s="96">
        <v>608880</v>
      </c>
      <c r="G45" s="96">
        <v>833136</v>
      </c>
      <c r="H45" s="96">
        <v>939294</v>
      </c>
      <c r="I45" s="96">
        <v>1257457</v>
      </c>
      <c r="J45" s="96">
        <v>1525913</v>
      </c>
      <c r="K45" s="96">
        <v>1599516</v>
      </c>
    </row>
    <row r="46" spans="1:12">
      <c r="B46" s="15" t="s">
        <v>19</v>
      </c>
      <c r="F46" s="96">
        <v>58155</v>
      </c>
      <c r="G46" s="96">
        <v>209095</v>
      </c>
      <c r="H46" s="96">
        <v>238472</v>
      </c>
      <c r="I46" s="96">
        <v>344897</v>
      </c>
      <c r="J46" s="96">
        <v>363043</v>
      </c>
      <c r="K46" s="96">
        <v>464119</v>
      </c>
    </row>
    <row r="47" spans="1:12">
      <c r="B47" s="15" t="s">
        <v>20</v>
      </c>
      <c r="F47" s="96">
        <v>426637</v>
      </c>
      <c r="G47" s="96">
        <v>455989</v>
      </c>
      <c r="H47" s="96">
        <v>546225</v>
      </c>
      <c r="I47" s="96">
        <v>662305</v>
      </c>
      <c r="J47" s="96">
        <v>666777</v>
      </c>
      <c r="K47" s="96">
        <v>661937</v>
      </c>
    </row>
    <row r="48" spans="1:12">
      <c r="B48" s="15" t="s">
        <v>21</v>
      </c>
      <c r="F48" s="96">
        <v>49092</v>
      </c>
      <c r="G48" s="96">
        <v>33257</v>
      </c>
      <c r="H48" s="96">
        <v>49616</v>
      </c>
      <c r="I48" s="96">
        <v>15015</v>
      </c>
      <c r="J48" s="96">
        <v>-1205</v>
      </c>
      <c r="K48" s="96">
        <v>46081</v>
      </c>
    </row>
    <row r="49" spans="2:11">
      <c r="B49" s="15" t="s">
        <v>22</v>
      </c>
      <c r="F49" s="96">
        <v>-213502</v>
      </c>
      <c r="G49" s="96">
        <v>-139652</v>
      </c>
      <c r="H49" s="96">
        <v>-65575</v>
      </c>
      <c r="I49" s="96">
        <v>-270574</v>
      </c>
      <c r="J49" s="96">
        <v>-218086</v>
      </c>
      <c r="K49" s="96">
        <v>-36793</v>
      </c>
    </row>
    <row r="50" spans="2:11">
      <c r="B50" s="15" t="s">
        <v>23</v>
      </c>
      <c r="F50" s="97">
        <v>-91051</v>
      </c>
      <c r="G50" s="97">
        <v>-109099</v>
      </c>
      <c r="H50" s="97">
        <v>-304692</v>
      </c>
      <c r="I50" s="97">
        <v>-292463</v>
      </c>
      <c r="J50" s="97">
        <v>-409786</v>
      </c>
      <c r="K50" s="97">
        <v>-385554</v>
      </c>
    </row>
    <row r="51" spans="2:11">
      <c r="B51" s="98" t="s">
        <v>24</v>
      </c>
      <c r="F51" s="14">
        <f>SUM(F45:F50)</f>
        <v>838211</v>
      </c>
      <c r="G51" s="14">
        <f t="shared" ref="G51:K51" si="5">SUM(G45:G50)</f>
        <v>1282726</v>
      </c>
      <c r="H51" s="14">
        <f t="shared" si="5"/>
        <v>1403340</v>
      </c>
      <c r="I51" s="14">
        <f t="shared" si="5"/>
        <v>1716637</v>
      </c>
      <c r="J51" s="14">
        <f t="shared" si="5"/>
        <v>1926656</v>
      </c>
      <c r="K51" s="14">
        <f t="shared" si="5"/>
        <v>2349306</v>
      </c>
    </row>
    <row r="53" spans="2:11" ht="16.5">
      <c r="B53" s="18" t="s">
        <v>25</v>
      </c>
    </row>
    <row r="54" spans="2:11">
      <c r="B54" s="15" t="s">
        <v>26</v>
      </c>
      <c r="F54" s="96">
        <v>-357018</v>
      </c>
      <c r="G54" s="96">
        <v>-352316</v>
      </c>
      <c r="H54" s="96">
        <v>-347725</v>
      </c>
      <c r="I54" s="96">
        <v>-381762</v>
      </c>
      <c r="J54" s="96">
        <v>-482277</v>
      </c>
      <c r="K54" s="96">
        <v>-485210</v>
      </c>
    </row>
    <row r="55" spans="2:11">
      <c r="B55" s="15" t="s">
        <v>27</v>
      </c>
      <c r="F55" s="96">
        <v>-351978</v>
      </c>
      <c r="G55" s="96">
        <v>-384827</v>
      </c>
      <c r="H55" s="96">
        <v>-456894</v>
      </c>
      <c r="I55" s="96">
        <v>-487148</v>
      </c>
      <c r="J55" s="96">
        <v>-506874</v>
      </c>
      <c r="K55" s="96">
        <v>-457976</v>
      </c>
    </row>
    <row r="56" spans="2:11">
      <c r="B56" s="15" t="s">
        <v>28</v>
      </c>
      <c r="F56" s="97">
        <v>969</v>
      </c>
      <c r="G56" s="97">
        <v>4405</v>
      </c>
      <c r="H56" s="97">
        <v>-789</v>
      </c>
      <c r="I56" s="97">
        <v>2458</v>
      </c>
      <c r="J56" s="97">
        <v>2041</v>
      </c>
      <c r="K56" s="97">
        <v>-952</v>
      </c>
    </row>
    <row r="57" spans="2:11">
      <c r="B57" s="98" t="s">
        <v>24</v>
      </c>
      <c r="F57" s="14">
        <f>SUM(F54:F56)</f>
        <v>-708027</v>
      </c>
      <c r="G57" s="14">
        <f t="shared" ref="G57:K57" si="6">SUM(G54:G56)</f>
        <v>-732738</v>
      </c>
      <c r="H57" s="14">
        <f t="shared" si="6"/>
        <v>-805408</v>
      </c>
      <c r="I57" s="14">
        <f t="shared" si="6"/>
        <v>-866452</v>
      </c>
      <c r="J57" s="14">
        <f t="shared" si="6"/>
        <v>-987110</v>
      </c>
      <c r="K57" s="14">
        <f t="shared" si="6"/>
        <v>-944138</v>
      </c>
    </row>
    <row r="60" spans="2:11" ht="16.5">
      <c r="B60" s="18" t="s">
        <v>29</v>
      </c>
    </row>
    <row r="61" spans="2:11">
      <c r="B61" s="15" t="s">
        <v>30</v>
      </c>
      <c r="F61" s="96">
        <v>-211029</v>
      </c>
      <c r="G61" s="96">
        <v>-161455</v>
      </c>
      <c r="H61" s="96">
        <v>-251788</v>
      </c>
      <c r="I61" s="96">
        <v>-333521</v>
      </c>
      <c r="J61" s="96">
        <v>-444706</v>
      </c>
      <c r="K61" s="96">
        <v>-534155</v>
      </c>
    </row>
    <row r="62" spans="2:11">
      <c r="B62" s="15" t="s">
        <v>31</v>
      </c>
      <c r="F62" s="96">
        <v>-129793</v>
      </c>
      <c r="G62" s="96">
        <v>-230899</v>
      </c>
      <c r="H62" s="96">
        <v>-396522</v>
      </c>
      <c r="I62" s="96">
        <v>-460629</v>
      </c>
      <c r="J62" s="96">
        <v>-581084</v>
      </c>
      <c r="K62" s="96">
        <v>-785329</v>
      </c>
    </row>
    <row r="63" spans="2:11">
      <c r="B63" s="15" t="s">
        <v>32</v>
      </c>
      <c r="F63" s="97">
        <v>680505</v>
      </c>
      <c r="G63" s="97">
        <v>-187318</v>
      </c>
      <c r="H63" s="97">
        <v>94750</v>
      </c>
      <c r="I63" s="97">
        <v>-315257</v>
      </c>
      <c r="J63" s="97">
        <v>701029</v>
      </c>
      <c r="K63" s="97">
        <v>-347673</v>
      </c>
    </row>
    <row r="64" spans="2:11">
      <c r="B64" s="98" t="s">
        <v>24</v>
      </c>
      <c r="F64" s="14">
        <f>SUM(F61:F63)</f>
        <v>339683</v>
      </c>
      <c r="G64" s="14">
        <f t="shared" ref="G64:K64" si="7">SUM(G61:G63)</f>
        <v>-579672</v>
      </c>
      <c r="H64" s="14">
        <f t="shared" si="7"/>
        <v>-553560</v>
      </c>
      <c r="I64" s="14">
        <f t="shared" si="7"/>
        <v>-1109407</v>
      </c>
      <c r="J64" s="14">
        <f t="shared" si="7"/>
        <v>-324761</v>
      </c>
      <c r="K64" s="14">
        <f t="shared" si="7"/>
        <v>-1667157</v>
      </c>
    </row>
    <row r="67" spans="1:11" ht="16.5">
      <c r="B67" s="18" t="s">
        <v>33</v>
      </c>
    </row>
    <row r="68" spans="1:11">
      <c r="B68" s="15" t="s">
        <v>37</v>
      </c>
      <c r="F68" s="96">
        <v>-5407</v>
      </c>
      <c r="G68" s="96">
        <v>11424</v>
      </c>
      <c r="H68" s="96">
        <v>383</v>
      </c>
      <c r="I68" s="96">
        <v>-7698</v>
      </c>
      <c r="J68" s="96">
        <v>5448</v>
      </c>
      <c r="K68" s="96">
        <v>-12514</v>
      </c>
    </row>
    <row r="69" spans="1:11">
      <c r="B69" s="5" t="s">
        <v>34</v>
      </c>
      <c r="F69" s="96">
        <v>897946</v>
      </c>
      <c r="G69" s="96">
        <v>1362406</v>
      </c>
      <c r="H69" s="96">
        <v>1344146</v>
      </c>
      <c r="I69" s="96">
        <v>1388901</v>
      </c>
      <c r="J69" s="96">
        <v>1121981</v>
      </c>
      <c r="K69" s="96">
        <v>1742214</v>
      </c>
    </row>
    <row r="70" spans="1:11">
      <c r="B70" s="5" t="s">
        <v>35</v>
      </c>
      <c r="F70" s="19">
        <f>F51+F57+F64</f>
        <v>469867</v>
      </c>
      <c r="G70" s="19">
        <f t="shared" ref="G70:K70" si="8">G51+G57+G64</f>
        <v>-29684</v>
      </c>
      <c r="H70" s="19">
        <f t="shared" si="8"/>
        <v>44372</v>
      </c>
      <c r="I70" s="19">
        <f t="shared" si="8"/>
        <v>-259222</v>
      </c>
      <c r="J70" s="19">
        <f t="shared" si="8"/>
        <v>614785</v>
      </c>
      <c r="K70" s="19">
        <f t="shared" si="8"/>
        <v>-261989</v>
      </c>
    </row>
    <row r="71" spans="1:11" ht="15.75" thickBot="1">
      <c r="B71" s="7" t="s">
        <v>36</v>
      </c>
      <c r="F71" s="20">
        <f>SUM(F68:F70)</f>
        <v>1362406</v>
      </c>
      <c r="G71" s="20">
        <f t="shared" ref="G71:K71" si="9">SUM(G68:G70)</f>
        <v>1344146</v>
      </c>
      <c r="H71" s="20">
        <f t="shared" si="9"/>
        <v>1388901</v>
      </c>
      <c r="I71" s="20">
        <f t="shared" si="9"/>
        <v>1121981</v>
      </c>
      <c r="J71" s="20">
        <f t="shared" si="9"/>
        <v>1742214</v>
      </c>
      <c r="K71" s="20">
        <f t="shared" si="9"/>
        <v>1467711</v>
      </c>
    </row>
    <row r="72" spans="1:11">
      <c r="B72" s="5" t="s">
        <v>79</v>
      </c>
      <c r="F72" s="14">
        <f>F71-F96</f>
        <v>0</v>
      </c>
      <c r="G72" s="14">
        <f t="shared" ref="G72:K72" si="10">G71-G96</f>
        <v>0</v>
      </c>
      <c r="H72" s="14">
        <f t="shared" si="10"/>
        <v>0</v>
      </c>
      <c r="I72" s="14">
        <f t="shared" si="10"/>
        <v>0</v>
      </c>
      <c r="J72" s="14">
        <f t="shared" si="10"/>
        <v>0</v>
      </c>
      <c r="K72" s="14">
        <f t="shared" si="10"/>
        <v>0</v>
      </c>
    </row>
    <row r="73" spans="1:11"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5" spans="1:11" ht="20.25" thickBot="1">
      <c r="A75" s="5" t="s">
        <v>64</v>
      </c>
      <c r="B75" s="93" t="s">
        <v>61</v>
      </c>
      <c r="C75" s="93"/>
      <c r="D75" s="93"/>
      <c r="E75" s="93"/>
      <c r="F75" s="93"/>
      <c r="G75" s="93"/>
      <c r="H75" s="93"/>
      <c r="I75" s="93"/>
      <c r="J75" s="93"/>
      <c r="K75" s="93"/>
    </row>
    <row r="76" spans="1:11" ht="15.75" thickTop="1"/>
    <row r="77" spans="1:11" ht="15.75" thickBot="1">
      <c r="B77" s="5" t="s">
        <v>16</v>
      </c>
      <c r="F77" s="11">
        <v>2020</v>
      </c>
      <c r="G77" s="10">
        <v>2021</v>
      </c>
      <c r="H77" s="10">
        <v>2022</v>
      </c>
      <c r="I77" s="10">
        <v>2023</v>
      </c>
      <c r="J77" s="10">
        <v>2024</v>
      </c>
      <c r="K77" s="10">
        <v>2025</v>
      </c>
    </row>
    <row r="79" spans="1:11" ht="16.5">
      <c r="B79" s="17" t="s">
        <v>55</v>
      </c>
    </row>
    <row r="81" spans="2:11" ht="16.5">
      <c r="B81" s="18" t="s">
        <v>38</v>
      </c>
    </row>
    <row r="82" spans="2:11">
      <c r="B82" s="15" t="s">
        <v>39</v>
      </c>
      <c r="F82" s="96">
        <v>785182</v>
      </c>
      <c r="G82" s="96">
        <v>785182</v>
      </c>
      <c r="H82" s="96">
        <v>785182</v>
      </c>
      <c r="I82" s="96">
        <v>785182</v>
      </c>
      <c r="J82" s="96">
        <v>785182</v>
      </c>
      <c r="K82" s="96">
        <v>785182</v>
      </c>
    </row>
    <row r="83" spans="2:11">
      <c r="B83" s="15" t="s">
        <v>40</v>
      </c>
      <c r="F83" s="96">
        <v>979290</v>
      </c>
      <c r="G83" s="96">
        <v>1138173</v>
      </c>
      <c r="H83" s="96">
        <v>1307388</v>
      </c>
      <c r="I83" s="96">
        <v>1419699</v>
      </c>
      <c r="J83" s="96">
        <v>1545664</v>
      </c>
      <c r="K83" s="96">
        <v>1638457</v>
      </c>
    </row>
    <row r="84" spans="2:11">
      <c r="B84" s="15" t="s">
        <v>41</v>
      </c>
      <c r="F84" s="96">
        <v>1226630</v>
      </c>
      <c r="G84" s="96">
        <v>1353165</v>
      </c>
      <c r="H84" s="96">
        <v>1457825</v>
      </c>
      <c r="I84" s="96">
        <v>1575200</v>
      </c>
      <c r="J84" s="96">
        <v>1828784</v>
      </c>
      <c r="K84" s="96">
        <v>2057891</v>
      </c>
    </row>
    <row r="85" spans="2:11">
      <c r="B85" s="15" t="s">
        <v>42</v>
      </c>
      <c r="F85" s="96">
        <v>42841</v>
      </c>
      <c r="G85" s="96">
        <v>54509</v>
      </c>
      <c r="H85" s="96">
        <v>59534</v>
      </c>
      <c r="I85" s="96">
        <v>67671</v>
      </c>
      <c r="J85" s="96">
        <v>80822</v>
      </c>
      <c r="K85" s="96">
        <v>96444</v>
      </c>
    </row>
    <row r="86" spans="2:11">
      <c r="B86" s="15" t="s">
        <v>43</v>
      </c>
      <c r="F86" s="97">
        <v>152221</v>
      </c>
      <c r="G86" s="97">
        <v>168757</v>
      </c>
      <c r="H86" s="97">
        <v>203382</v>
      </c>
      <c r="I86" s="97">
        <v>217553</v>
      </c>
      <c r="J86" s="97">
        <v>236791</v>
      </c>
      <c r="K86" s="97">
        <v>226005</v>
      </c>
    </row>
    <row r="87" spans="2:11" ht="16.5">
      <c r="B87" s="17" t="s">
        <v>44</v>
      </c>
      <c r="F87" s="14">
        <f>SUM(F82:F86)</f>
        <v>3186164</v>
      </c>
      <c r="G87" s="14">
        <f t="shared" ref="G87:K87" si="11">SUM(G82:G86)</f>
        <v>3499786</v>
      </c>
      <c r="H87" s="14">
        <f t="shared" si="11"/>
        <v>3813311</v>
      </c>
      <c r="I87" s="14">
        <f t="shared" si="11"/>
        <v>4065305</v>
      </c>
      <c r="J87" s="14">
        <f t="shared" si="11"/>
        <v>4477243</v>
      </c>
      <c r="K87" s="14">
        <f t="shared" si="11"/>
        <v>4803979</v>
      </c>
    </row>
    <row r="89" spans="2:11" ht="16.5">
      <c r="B89" s="18" t="s">
        <v>45</v>
      </c>
    </row>
    <row r="90" spans="2:11">
      <c r="B90" s="15" t="s">
        <v>46</v>
      </c>
      <c r="F90" s="96">
        <v>460617</v>
      </c>
      <c r="G90" s="96">
        <v>540575</v>
      </c>
      <c r="H90" s="96">
        <v>674662</v>
      </c>
      <c r="I90" s="96">
        <v>948514</v>
      </c>
      <c r="J90" s="96">
        <v>1088194</v>
      </c>
      <c r="K90" s="96">
        <v>1113904</v>
      </c>
    </row>
    <row r="91" spans="2:11">
      <c r="B91" s="15" t="s">
        <v>47</v>
      </c>
      <c r="F91" s="96">
        <v>184260</v>
      </c>
      <c r="G91" s="96">
        <v>185000</v>
      </c>
      <c r="H91" s="96">
        <v>232414</v>
      </c>
      <c r="I91" s="96">
        <v>261380</v>
      </c>
      <c r="J91" s="96">
        <v>349176</v>
      </c>
      <c r="K91" s="96">
        <v>360339</v>
      </c>
    </row>
    <row r="92" spans="2:11">
      <c r="B92" s="15" t="s">
        <v>48</v>
      </c>
      <c r="F92" s="96">
        <v>939607</v>
      </c>
      <c r="G92" s="96">
        <v>1143968</v>
      </c>
      <c r="H92" s="96">
        <v>1399997</v>
      </c>
      <c r="I92" s="96">
        <v>1451158</v>
      </c>
      <c r="J92" s="96">
        <v>1661632</v>
      </c>
      <c r="K92" s="96">
        <v>1613396</v>
      </c>
    </row>
    <row r="93" spans="2:11">
      <c r="B93" s="15" t="s">
        <v>49</v>
      </c>
      <c r="F93" s="96">
        <v>12438</v>
      </c>
      <c r="G93" s="96">
        <v>14306</v>
      </c>
      <c r="H93" s="96">
        <v>16054</v>
      </c>
      <c r="I93" s="96">
        <v>11616</v>
      </c>
      <c r="J93" s="96">
        <v>15918</v>
      </c>
      <c r="K93" s="96">
        <v>31715</v>
      </c>
    </row>
    <row r="94" spans="2:11">
      <c r="B94" s="15" t="s">
        <v>50</v>
      </c>
      <c r="F94" s="96">
        <v>76471</v>
      </c>
      <c r="G94" s="96">
        <v>122224</v>
      </c>
      <c r="H94" s="96">
        <v>153183</v>
      </c>
      <c r="I94" s="96">
        <v>130228</v>
      </c>
      <c r="J94" s="96">
        <v>137763</v>
      </c>
      <c r="K94" s="96">
        <v>159223</v>
      </c>
    </row>
    <row r="95" spans="2:11">
      <c r="B95" s="15" t="s">
        <v>51</v>
      </c>
      <c r="F95" s="96">
        <v>40084</v>
      </c>
      <c r="G95" s="96">
        <v>13500</v>
      </c>
      <c r="H95" s="96">
        <v>87301</v>
      </c>
      <c r="I95" s="96">
        <v>61130</v>
      </c>
      <c r="J95" s="96">
        <v>25006</v>
      </c>
      <c r="K95" s="96">
        <v>78085</v>
      </c>
    </row>
    <row r="96" spans="2:11">
      <c r="B96" s="15" t="s">
        <v>52</v>
      </c>
      <c r="F96" s="97">
        <v>1362406</v>
      </c>
      <c r="G96" s="97">
        <v>1344146</v>
      </c>
      <c r="H96" s="97">
        <v>1388901</v>
      </c>
      <c r="I96" s="97">
        <v>1121981</v>
      </c>
      <c r="J96" s="97">
        <v>1742214</v>
      </c>
      <c r="K96" s="97">
        <v>1467711</v>
      </c>
    </row>
    <row r="97" spans="2:11">
      <c r="B97" s="7" t="s">
        <v>53</v>
      </c>
      <c r="F97" s="14">
        <f>SUM(F90:F96)</f>
        <v>3075883</v>
      </c>
      <c r="G97" s="14">
        <f t="shared" ref="G97:K97" si="12">SUM(G90:G96)</f>
        <v>3363719</v>
      </c>
      <c r="H97" s="14">
        <f t="shared" si="12"/>
        <v>3952512</v>
      </c>
      <c r="I97" s="14">
        <f t="shared" si="12"/>
        <v>3986007</v>
      </c>
      <c r="J97" s="14">
        <f t="shared" si="12"/>
        <v>5019903</v>
      </c>
      <c r="K97" s="14">
        <f t="shared" si="12"/>
        <v>4824373</v>
      </c>
    </row>
    <row r="99" spans="2:11" ht="17.25" thickBot="1">
      <c r="B99" s="17" t="s">
        <v>54</v>
      </c>
      <c r="F99" s="23">
        <f>F97+F87</f>
        <v>6262047</v>
      </c>
      <c r="G99" s="23">
        <f t="shared" ref="G99:K99" si="13">G97+G87</f>
        <v>6863505</v>
      </c>
      <c r="H99" s="23">
        <f t="shared" si="13"/>
        <v>7765823</v>
      </c>
      <c r="I99" s="23">
        <f t="shared" si="13"/>
        <v>8051312</v>
      </c>
      <c r="J99" s="23">
        <f t="shared" si="13"/>
        <v>9497146</v>
      </c>
      <c r="K99" s="23">
        <f t="shared" si="13"/>
        <v>9628352</v>
      </c>
    </row>
    <row r="100" spans="2:11" ht="15.75" thickTop="1"/>
    <row r="102" spans="2:11" ht="16.5">
      <c r="B102" s="17" t="s">
        <v>56</v>
      </c>
    </row>
    <row r="104" spans="2:11">
      <c r="B104" s="15" t="s">
        <v>57</v>
      </c>
      <c r="F104" s="96">
        <v>1785186</v>
      </c>
      <c r="G104" s="96">
        <v>2205898</v>
      </c>
      <c r="H104" s="96">
        <v>2592857</v>
      </c>
      <c r="I104" s="96">
        <v>3060888</v>
      </c>
      <c r="J104" s="96">
        <v>3533946</v>
      </c>
      <c r="K104" s="96">
        <v>3906893</v>
      </c>
    </row>
    <row r="105" spans="2:11">
      <c r="B105" s="15" t="s">
        <v>58</v>
      </c>
      <c r="F105" s="97">
        <v>4018</v>
      </c>
      <c r="G105" s="97">
        <v>5518</v>
      </c>
      <c r="H105" s="97">
        <v>9630</v>
      </c>
      <c r="I105" s="97">
        <v>9734</v>
      </c>
      <c r="J105" s="97">
        <v>9292</v>
      </c>
      <c r="K105" s="97">
        <v>7849</v>
      </c>
    </row>
    <row r="106" spans="2:11" ht="16.5">
      <c r="B106" s="17" t="s">
        <v>59</v>
      </c>
      <c r="F106" s="14">
        <f>SUM(F104:F105)</f>
        <v>1789204</v>
      </c>
      <c r="G106" s="14">
        <f t="shared" ref="G106:K106" si="14">SUM(G104:G105)</f>
        <v>2211416</v>
      </c>
      <c r="H106" s="14">
        <f t="shared" si="14"/>
        <v>2602487</v>
      </c>
      <c r="I106" s="14">
        <f t="shared" si="14"/>
        <v>3070622</v>
      </c>
      <c r="J106" s="14">
        <f t="shared" si="14"/>
        <v>3543238</v>
      </c>
      <c r="K106" s="14">
        <f t="shared" si="14"/>
        <v>3914742</v>
      </c>
    </row>
    <row r="109" spans="2:11">
      <c r="B109" s="7" t="s">
        <v>60</v>
      </c>
    </row>
    <row r="111" spans="2:11">
      <c r="B111" s="15" t="s">
        <v>72</v>
      </c>
      <c r="F111" s="96">
        <v>59985</v>
      </c>
      <c r="G111" s="96">
        <v>101200</v>
      </c>
      <c r="H111" s="96">
        <v>110807</v>
      </c>
      <c r="I111" s="96">
        <v>123045</v>
      </c>
      <c r="J111" s="96">
        <v>134147</v>
      </c>
      <c r="K111" s="96">
        <v>145294</v>
      </c>
    </row>
    <row r="112" spans="2:11">
      <c r="B112" s="15" t="s">
        <v>73</v>
      </c>
      <c r="F112" s="96">
        <v>155335</v>
      </c>
      <c r="G112" s="96">
        <v>150868</v>
      </c>
      <c r="H112" s="96">
        <v>180694</v>
      </c>
      <c r="I112" s="96">
        <v>187276</v>
      </c>
      <c r="J112" s="96">
        <v>206212</v>
      </c>
      <c r="K112" s="96">
        <v>184481</v>
      </c>
    </row>
    <row r="113" spans="2:11">
      <c r="B113" s="15" t="s">
        <v>65</v>
      </c>
      <c r="F113" s="96">
        <v>113474</v>
      </c>
      <c r="G113" s="96">
        <v>95973</v>
      </c>
      <c r="H113" s="96">
        <v>126507</v>
      </c>
      <c r="I113" s="96">
        <v>136846</v>
      </c>
      <c r="J113" s="96">
        <v>110016</v>
      </c>
      <c r="K113" s="96">
        <v>254387</v>
      </c>
    </row>
    <row r="114" spans="2:11">
      <c r="B114" s="99" t="s">
        <v>75</v>
      </c>
      <c r="F114" s="96">
        <v>1835517</v>
      </c>
      <c r="G114" s="96">
        <v>2113892</v>
      </c>
      <c r="H114" s="96">
        <v>1832386</v>
      </c>
      <c r="I114" s="96">
        <v>1736313</v>
      </c>
      <c r="J114" s="96">
        <v>2017611</v>
      </c>
      <c r="K114" s="96">
        <v>1921911</v>
      </c>
    </row>
    <row r="115" spans="2:11">
      <c r="B115" s="15" t="s">
        <v>76</v>
      </c>
      <c r="F115" s="96">
        <v>687462</v>
      </c>
      <c r="G115" s="96">
        <v>726775</v>
      </c>
      <c r="H115" s="96">
        <v>952025</v>
      </c>
      <c r="I115" s="96">
        <v>1022967</v>
      </c>
      <c r="J115" s="96">
        <v>1106221</v>
      </c>
      <c r="K115" s="96">
        <v>1391616</v>
      </c>
    </row>
    <row r="116" spans="2:11">
      <c r="B116" s="15" t="s">
        <v>69</v>
      </c>
      <c r="F116" s="96">
        <v>2140</v>
      </c>
      <c r="G116" s="96">
        <v>36520</v>
      </c>
      <c r="H116" s="96">
        <v>19993</v>
      </c>
      <c r="I116" s="96">
        <v>13539</v>
      </c>
      <c r="J116" s="96">
        <v>61894</v>
      </c>
      <c r="K116" s="96">
        <v>7405</v>
      </c>
    </row>
    <row r="117" spans="2:11">
      <c r="B117" s="15" t="s">
        <v>67</v>
      </c>
      <c r="F117" s="96">
        <v>713807</v>
      </c>
      <c r="G117" s="96">
        <v>797832</v>
      </c>
      <c r="H117" s="96">
        <v>902968</v>
      </c>
      <c r="I117" s="96">
        <v>930560</v>
      </c>
      <c r="J117" s="96">
        <v>945657</v>
      </c>
      <c r="K117" s="96">
        <v>841256</v>
      </c>
    </row>
    <row r="118" spans="2:11">
      <c r="B118" s="15" t="s">
        <v>68</v>
      </c>
      <c r="F118" s="96">
        <v>15895</v>
      </c>
      <c r="G118" s="96">
        <v>112910</v>
      </c>
      <c r="H118" s="96">
        <v>58563</v>
      </c>
      <c r="I118" s="96">
        <v>89271</v>
      </c>
      <c r="J118" s="96">
        <v>37873</v>
      </c>
      <c r="K118" s="96">
        <v>4951</v>
      </c>
    </row>
    <row r="119" spans="2:11">
      <c r="B119" s="5" t="s">
        <v>74</v>
      </c>
      <c r="F119" s="96">
        <v>889228</v>
      </c>
      <c r="G119" s="96">
        <v>516119</v>
      </c>
      <c r="H119" s="96">
        <v>979393</v>
      </c>
      <c r="I119" s="96">
        <v>740873</v>
      </c>
      <c r="J119" s="96">
        <v>1334277</v>
      </c>
      <c r="K119" s="96">
        <v>962309</v>
      </c>
    </row>
    <row r="120" spans="2:11" ht="16.5">
      <c r="B120" s="17" t="s">
        <v>70</v>
      </c>
      <c r="F120" s="22">
        <f t="shared" ref="F120:K120" si="15">SUM(F111:F119)</f>
        <v>4472843</v>
      </c>
      <c r="G120" s="22">
        <f t="shared" si="15"/>
        <v>4652089</v>
      </c>
      <c r="H120" s="22">
        <f t="shared" si="15"/>
        <v>5163336</v>
      </c>
      <c r="I120" s="22">
        <f t="shared" si="15"/>
        <v>4980690</v>
      </c>
      <c r="J120" s="22">
        <f t="shared" si="15"/>
        <v>5953908</v>
      </c>
      <c r="K120" s="22">
        <f t="shared" si="15"/>
        <v>5713610</v>
      </c>
    </row>
    <row r="122" spans="2:11" ht="17.25" thickBot="1">
      <c r="B122" s="17" t="s">
        <v>71</v>
      </c>
      <c r="F122" s="23">
        <f t="shared" ref="F122:K122" si="16">F106+F120</f>
        <v>6262047</v>
      </c>
      <c r="G122" s="23">
        <f t="shared" si="16"/>
        <v>6863505</v>
      </c>
      <c r="H122" s="23">
        <f t="shared" si="16"/>
        <v>7765823</v>
      </c>
      <c r="I122" s="23">
        <f t="shared" si="16"/>
        <v>8051312</v>
      </c>
      <c r="J122" s="23">
        <f t="shared" si="16"/>
        <v>9497146</v>
      </c>
      <c r="K122" s="23">
        <f t="shared" si="16"/>
        <v>9628352</v>
      </c>
    </row>
    <row r="123" spans="2:11" ht="15.75" thickTop="1"/>
    <row r="124" spans="2:11">
      <c r="B124" s="5" t="s">
        <v>78</v>
      </c>
      <c r="F124" s="14">
        <f t="shared" ref="F124:K124" si="17">F99-F122</f>
        <v>0</v>
      </c>
      <c r="G124" s="14">
        <f t="shared" si="17"/>
        <v>0</v>
      </c>
      <c r="H124" s="14">
        <f t="shared" si="17"/>
        <v>0</v>
      </c>
      <c r="I124" s="14">
        <f t="shared" si="17"/>
        <v>0</v>
      </c>
      <c r="J124" s="14">
        <f t="shared" si="17"/>
        <v>0</v>
      </c>
      <c r="K124" s="14">
        <f t="shared" si="17"/>
        <v>0</v>
      </c>
    </row>
    <row r="128" spans="2:11" ht="16.5" customHeight="1" thickBot="1">
      <c r="B128" s="93" t="s">
        <v>77</v>
      </c>
      <c r="C128" s="93"/>
      <c r="D128" s="93"/>
      <c r="E128" s="93"/>
      <c r="F128" s="93"/>
      <c r="G128" s="93"/>
      <c r="H128" s="93"/>
      <c r="I128" s="93"/>
      <c r="J128" s="93"/>
      <c r="K128" s="93"/>
    </row>
    <row r="129" spans="2:11" ht="15.75" thickTop="1"/>
    <row r="130" spans="2:11" ht="15.75" thickBot="1">
      <c r="B130" s="5" t="s">
        <v>16</v>
      </c>
      <c r="F130" s="11">
        <v>2020</v>
      </c>
      <c r="G130" s="10">
        <v>2021</v>
      </c>
      <c r="H130" s="10">
        <v>2022</v>
      </c>
      <c r="I130" s="10">
        <v>2023</v>
      </c>
      <c r="J130" s="10">
        <v>2024</v>
      </c>
      <c r="K130" s="10">
        <v>2025</v>
      </c>
    </row>
    <row r="133" spans="2:11">
      <c r="B133" s="100" t="s">
        <v>80</v>
      </c>
    </row>
    <row r="134" spans="2:11">
      <c r="B134" s="101" t="s">
        <v>7</v>
      </c>
      <c r="F134" s="14">
        <f>F23</f>
        <v>716127</v>
      </c>
      <c r="G134" s="14">
        <f t="shared" ref="G134:K134" si="18">G23</f>
        <v>1075488</v>
      </c>
      <c r="H134" s="14">
        <f t="shared" si="18"/>
        <v>1227382</v>
      </c>
      <c r="I134" s="14">
        <f t="shared" si="18"/>
        <v>1617369</v>
      </c>
      <c r="J134" s="14">
        <f t="shared" si="18"/>
        <v>1887751</v>
      </c>
      <c r="K134" s="14">
        <f t="shared" si="18"/>
        <v>2109715</v>
      </c>
    </row>
    <row r="135" spans="2:11">
      <c r="B135" s="101" t="s">
        <v>81</v>
      </c>
      <c r="E135" s="28"/>
      <c r="F135" s="29">
        <f t="shared" ref="F135:K135" si="19">-F31/F28</f>
        <v>8.7184330657311834E-2</v>
      </c>
      <c r="G135" s="26">
        <f t="shared" si="19"/>
        <v>0.20062251074857684</v>
      </c>
      <c r="H135" s="26">
        <f t="shared" si="19"/>
        <v>0.20247825119760632</v>
      </c>
      <c r="I135" s="26">
        <f t="shared" si="19"/>
        <v>0.21524394734247237</v>
      </c>
      <c r="J135" s="26">
        <f t="shared" si="19"/>
        <v>0.19219240681095801</v>
      </c>
      <c r="K135" s="26">
        <f t="shared" si="19"/>
        <v>0.22490373777520625</v>
      </c>
    </row>
    <row r="136" spans="2:11">
      <c r="B136" s="101" t="s">
        <v>82</v>
      </c>
      <c r="F136" s="14">
        <f>F134*(1-F135)</f>
        <v>653691.94683937123</v>
      </c>
      <c r="G136" s="14">
        <f t="shared" ref="G136:K136" si="20">G134*(1-G135)</f>
        <v>859720.89716003463</v>
      </c>
      <c r="H136" s="14">
        <f t="shared" si="20"/>
        <v>978863.83908857952</v>
      </c>
      <c r="I136" s="14">
        <f t="shared" si="20"/>
        <v>1269240.1121306529</v>
      </c>
      <c r="J136" s="14">
        <f t="shared" si="20"/>
        <v>1524939.5918502074</v>
      </c>
      <c r="K136" s="14">
        <f t="shared" si="20"/>
        <v>1635232.2108595809</v>
      </c>
    </row>
    <row r="137" spans="2:11">
      <c r="B137" s="102"/>
      <c r="F137" s="14"/>
      <c r="G137" s="14"/>
      <c r="H137" s="14"/>
      <c r="I137" s="14"/>
      <c r="J137" s="14"/>
      <c r="K137" s="14"/>
    </row>
    <row r="138" spans="2:11">
      <c r="B138" s="100" t="s">
        <v>83</v>
      </c>
      <c r="F138" s="14"/>
      <c r="G138" s="14"/>
      <c r="H138" s="14"/>
      <c r="I138" s="14"/>
      <c r="J138" s="14"/>
      <c r="K138" s="14"/>
    </row>
    <row r="139" spans="2:11">
      <c r="B139" s="101" t="s">
        <v>84</v>
      </c>
      <c r="F139" s="14">
        <f>F119</f>
        <v>889228</v>
      </c>
      <c r="G139" s="14">
        <f t="shared" ref="G139:K139" si="21">G119</f>
        <v>516119</v>
      </c>
      <c r="H139" s="14">
        <f t="shared" si="21"/>
        <v>979393</v>
      </c>
      <c r="I139" s="14">
        <f t="shared" si="21"/>
        <v>740873</v>
      </c>
      <c r="J139" s="14">
        <f t="shared" si="21"/>
        <v>1334277</v>
      </c>
      <c r="K139" s="14">
        <f t="shared" si="21"/>
        <v>962309</v>
      </c>
    </row>
    <row r="140" spans="2:11">
      <c r="B140" s="101" t="s">
        <v>85</v>
      </c>
      <c r="F140" s="27">
        <f>F114</f>
        <v>1835517</v>
      </c>
      <c r="G140" s="27">
        <f t="shared" ref="G140:K140" si="22">G114</f>
        <v>2113892</v>
      </c>
      <c r="H140" s="27">
        <f t="shared" si="22"/>
        <v>1832386</v>
      </c>
      <c r="I140" s="27">
        <f t="shared" si="22"/>
        <v>1736313</v>
      </c>
      <c r="J140" s="27">
        <f t="shared" si="22"/>
        <v>2017611</v>
      </c>
      <c r="K140" s="27">
        <f t="shared" si="22"/>
        <v>1921911</v>
      </c>
    </row>
    <row r="141" spans="2:11">
      <c r="B141" s="101" t="s">
        <v>86</v>
      </c>
      <c r="F141" s="14">
        <f>SUM(F139:F140)</f>
        <v>2724745</v>
      </c>
      <c r="G141" s="14">
        <f t="shared" ref="G141:K141" si="23">SUM(G139:G140)</f>
        <v>2630011</v>
      </c>
      <c r="H141" s="14">
        <f t="shared" si="23"/>
        <v>2811779</v>
      </c>
      <c r="I141" s="14">
        <f t="shared" si="23"/>
        <v>2477186</v>
      </c>
      <c r="J141" s="14">
        <f t="shared" si="23"/>
        <v>3351888</v>
      </c>
      <c r="K141" s="14">
        <f t="shared" si="23"/>
        <v>2884220</v>
      </c>
    </row>
    <row r="142" spans="2:11">
      <c r="B142" s="101" t="s">
        <v>87</v>
      </c>
      <c r="F142" s="14">
        <f>-F96</f>
        <v>-1362406</v>
      </c>
      <c r="G142" s="14">
        <f t="shared" ref="G142:K142" si="24">-G96</f>
        <v>-1344146</v>
      </c>
      <c r="H142" s="14">
        <f t="shared" si="24"/>
        <v>-1388901</v>
      </c>
      <c r="I142" s="14">
        <f t="shared" si="24"/>
        <v>-1121981</v>
      </c>
      <c r="J142" s="14">
        <f t="shared" si="24"/>
        <v>-1742214</v>
      </c>
      <c r="K142" s="14">
        <f t="shared" si="24"/>
        <v>-1467711</v>
      </c>
    </row>
    <row r="143" spans="2:11">
      <c r="B143" s="101" t="s">
        <v>88</v>
      </c>
      <c r="F143" s="14">
        <f>F141+F142</f>
        <v>1362339</v>
      </c>
      <c r="G143" s="14">
        <f t="shared" ref="G143:K143" si="25">G141+G142</f>
        <v>1285865</v>
      </c>
      <c r="H143" s="14">
        <f t="shared" si="25"/>
        <v>1422878</v>
      </c>
      <c r="I143" s="14">
        <f t="shared" si="25"/>
        <v>1355205</v>
      </c>
      <c r="J143" s="14">
        <f t="shared" si="25"/>
        <v>1609674</v>
      </c>
      <c r="K143" s="14">
        <f t="shared" si="25"/>
        <v>1416509</v>
      </c>
    </row>
    <row r="144" spans="2:11">
      <c r="B144" s="101" t="s">
        <v>89</v>
      </c>
      <c r="F144" s="14">
        <f>F106</f>
        <v>1789204</v>
      </c>
      <c r="G144" s="14">
        <f t="shared" ref="G144:K144" si="26">G106</f>
        <v>2211416</v>
      </c>
      <c r="H144" s="14">
        <f t="shared" si="26"/>
        <v>2602487</v>
      </c>
      <c r="I144" s="14">
        <f t="shared" si="26"/>
        <v>3070622</v>
      </c>
      <c r="J144" s="14">
        <f t="shared" si="26"/>
        <v>3543238</v>
      </c>
      <c r="K144" s="14">
        <f t="shared" si="26"/>
        <v>3914742</v>
      </c>
    </row>
    <row r="145" spans="1:11" ht="15.75" thickBot="1">
      <c r="B145" s="101" t="s">
        <v>90</v>
      </c>
      <c r="F145" s="23">
        <f>F144+F143</f>
        <v>3151543</v>
      </c>
      <c r="G145" s="23">
        <f t="shared" ref="G145:K145" si="27">G144+G143</f>
        <v>3497281</v>
      </c>
      <c r="H145" s="23">
        <f t="shared" si="27"/>
        <v>4025365</v>
      </c>
      <c r="I145" s="23">
        <f t="shared" si="27"/>
        <v>4425827</v>
      </c>
      <c r="J145" s="23">
        <f t="shared" si="27"/>
        <v>5152912</v>
      </c>
      <c r="K145" s="23">
        <f t="shared" si="27"/>
        <v>5331251</v>
      </c>
    </row>
    <row r="146" spans="1:11" ht="15.75" thickTop="1">
      <c r="B146" s="101"/>
    </row>
    <row r="147" spans="1:11">
      <c r="B147" s="100" t="s">
        <v>91</v>
      </c>
    </row>
    <row r="148" spans="1:11">
      <c r="B148" s="101" t="s">
        <v>45</v>
      </c>
      <c r="F148" s="14">
        <f>F97</f>
        <v>3075883</v>
      </c>
      <c r="G148" s="14">
        <f t="shared" ref="G148:K148" si="28">G97</f>
        <v>3363719</v>
      </c>
      <c r="H148" s="14">
        <f t="shared" si="28"/>
        <v>3952512</v>
      </c>
      <c r="I148" s="14">
        <f t="shared" si="28"/>
        <v>3986007</v>
      </c>
      <c r="J148" s="14">
        <f t="shared" si="28"/>
        <v>5019903</v>
      </c>
      <c r="K148" s="14">
        <f t="shared" si="28"/>
        <v>4824373</v>
      </c>
    </row>
    <row r="149" spans="1:11">
      <c r="B149" s="101" t="s">
        <v>87</v>
      </c>
      <c r="F149" s="14">
        <f>-F96</f>
        <v>-1362406</v>
      </c>
      <c r="G149" s="14">
        <f t="shared" ref="G149:K149" si="29">-G96</f>
        <v>-1344146</v>
      </c>
      <c r="H149" s="14">
        <f t="shared" si="29"/>
        <v>-1388901</v>
      </c>
      <c r="I149" s="14">
        <f t="shared" si="29"/>
        <v>-1121981</v>
      </c>
      <c r="J149" s="14">
        <f t="shared" si="29"/>
        <v>-1742214</v>
      </c>
      <c r="K149" s="14">
        <f t="shared" si="29"/>
        <v>-1467711</v>
      </c>
    </row>
    <row r="150" spans="1:11">
      <c r="B150" s="101" t="s">
        <v>92</v>
      </c>
      <c r="F150" s="14">
        <f>F87</f>
        <v>3186164</v>
      </c>
      <c r="G150" s="14">
        <f t="shared" ref="G150:K150" si="30">G87</f>
        <v>3499786</v>
      </c>
      <c r="H150" s="14">
        <f t="shared" si="30"/>
        <v>3813311</v>
      </c>
      <c r="I150" s="14">
        <f t="shared" si="30"/>
        <v>4065305</v>
      </c>
      <c r="J150" s="14">
        <f t="shared" si="30"/>
        <v>4477243</v>
      </c>
      <c r="K150" s="14">
        <f t="shared" si="30"/>
        <v>4803979</v>
      </c>
    </row>
    <row r="151" spans="1:11">
      <c r="B151" s="101" t="s">
        <v>93</v>
      </c>
      <c r="F151" s="14">
        <f t="shared" ref="F151:K151" si="31">-(F117+F115+F118+F116+F111+F112+F113)</f>
        <v>-1748098</v>
      </c>
      <c r="G151" s="14">
        <f t="shared" si="31"/>
        <v>-2022078</v>
      </c>
      <c r="H151" s="14">
        <f t="shared" si="31"/>
        <v>-2351557</v>
      </c>
      <c r="I151" s="14">
        <f t="shared" si="31"/>
        <v>-2503504</v>
      </c>
      <c r="J151" s="14">
        <f t="shared" si="31"/>
        <v>-2602020</v>
      </c>
      <c r="K151" s="14">
        <f t="shared" si="31"/>
        <v>-2829390</v>
      </c>
    </row>
    <row r="152" spans="1:11" ht="15.75" thickBot="1">
      <c r="B152" s="101" t="s">
        <v>94</v>
      </c>
      <c r="F152" s="23">
        <f>SUM(F148:F151)</f>
        <v>3151543</v>
      </c>
      <c r="G152" s="23">
        <f t="shared" ref="G152:K152" si="32">SUM(G148:G151)</f>
        <v>3497281</v>
      </c>
      <c r="H152" s="23">
        <f t="shared" si="32"/>
        <v>4025365</v>
      </c>
      <c r="I152" s="23">
        <f t="shared" si="32"/>
        <v>4425827</v>
      </c>
      <c r="J152" s="23">
        <f t="shared" si="32"/>
        <v>5152912</v>
      </c>
      <c r="K152" s="23">
        <f t="shared" si="32"/>
        <v>5331251</v>
      </c>
    </row>
    <row r="153" spans="1:11" ht="15.75" thickTop="1">
      <c r="B153" s="101"/>
      <c r="F153" s="14"/>
      <c r="G153" s="14"/>
      <c r="H153" s="14"/>
      <c r="I153" s="14"/>
      <c r="J153" s="14"/>
      <c r="K153" s="14"/>
    </row>
    <row r="154" spans="1:11">
      <c r="B154" s="101"/>
      <c r="F154" s="14"/>
      <c r="G154" s="14"/>
      <c r="H154" s="14"/>
      <c r="I154" s="14"/>
      <c r="J154" s="14"/>
      <c r="K154" s="14"/>
    </row>
    <row r="155" spans="1:11">
      <c r="B155" s="15" t="s">
        <v>76</v>
      </c>
      <c r="F155" s="96">
        <v>687462</v>
      </c>
      <c r="G155" s="96">
        <v>726775</v>
      </c>
      <c r="H155" s="96">
        <v>952025</v>
      </c>
      <c r="I155" s="96">
        <v>1022967</v>
      </c>
      <c r="J155" s="96">
        <v>1106221</v>
      </c>
      <c r="K155" s="96">
        <v>1391616</v>
      </c>
    </row>
    <row r="156" spans="1:11">
      <c r="B156" s="15" t="s">
        <v>69</v>
      </c>
      <c r="F156" s="96">
        <v>2140</v>
      </c>
      <c r="G156" s="96">
        <v>36520</v>
      </c>
      <c r="H156" s="96">
        <v>19993</v>
      </c>
      <c r="I156" s="96">
        <v>13539</v>
      </c>
      <c r="J156" s="96">
        <v>61894</v>
      </c>
      <c r="K156" s="96">
        <v>7405</v>
      </c>
    </row>
    <row r="157" spans="1:11">
      <c r="B157" s="15" t="s">
        <v>67</v>
      </c>
      <c r="F157" s="96">
        <v>713807</v>
      </c>
      <c r="G157" s="96">
        <v>797832</v>
      </c>
      <c r="H157" s="96">
        <v>902968</v>
      </c>
      <c r="I157" s="96">
        <v>930560</v>
      </c>
      <c r="J157" s="96">
        <v>945657</v>
      </c>
      <c r="K157" s="96">
        <v>841256</v>
      </c>
    </row>
    <row r="158" spans="1:11">
      <c r="B158" s="15" t="s">
        <v>68</v>
      </c>
      <c r="F158" s="96">
        <v>15895</v>
      </c>
      <c r="G158" s="96">
        <v>112910</v>
      </c>
      <c r="H158" s="96">
        <v>58563</v>
      </c>
      <c r="I158" s="96">
        <v>89271</v>
      </c>
      <c r="J158" s="96">
        <v>37873</v>
      </c>
      <c r="K158" s="96">
        <v>4951</v>
      </c>
    </row>
    <row r="159" spans="1:11">
      <c r="B159" s="5" t="s">
        <v>74</v>
      </c>
      <c r="F159" s="96">
        <v>889228</v>
      </c>
      <c r="G159" s="96">
        <v>516119</v>
      </c>
      <c r="H159" s="96">
        <v>979393</v>
      </c>
      <c r="I159" s="96">
        <v>740873</v>
      </c>
      <c r="J159" s="96">
        <v>1334277</v>
      </c>
      <c r="K159" s="96">
        <v>962309</v>
      </c>
    </row>
    <row r="160" spans="1:11" ht="15.75" thickBot="1">
      <c r="A160" s="5" t="s">
        <v>64</v>
      </c>
      <c r="B160" s="7" t="s">
        <v>189</v>
      </c>
      <c r="F160" s="23">
        <f>SUM(F155:F159)</f>
        <v>2308532</v>
      </c>
      <c r="G160" s="23">
        <f t="shared" ref="G160:K160" si="33">SUM(G155:G159)</f>
        <v>2190156</v>
      </c>
      <c r="H160" s="23">
        <f t="shared" si="33"/>
        <v>2912942</v>
      </c>
      <c r="I160" s="23">
        <f t="shared" si="33"/>
        <v>2797210</v>
      </c>
      <c r="J160" s="23">
        <f t="shared" si="33"/>
        <v>3485922</v>
      </c>
      <c r="K160" s="23">
        <f t="shared" si="33"/>
        <v>3207537</v>
      </c>
    </row>
    <row r="161" ht="15.75" thickTop="1"/>
  </sheetData>
  <sheetProtection algorithmName="SHA-512" hashValue="49BkvyZqEJFG6cjRGPxzcVgkq1Jua3vg0oczVbf5fvmBpdCtfxv43s+Nf+AZRHZRj7woqVRdz9fiUaWEJjXHpg==" saltValue="1dSv+nlc37hG6MVFwRHTnA==" spinCount="100000" sheet="1" objects="1" scenarios="1"/>
  <hyperlinks>
    <hyperlink ref="K1" r:id="rId1" xr:uid="{9A2D2A7C-2244-4A81-A75E-72993EAFA6D2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46B0-E59E-4AF1-9547-14DE1C6F0B25}">
  <sheetPr>
    <pageSetUpPr autoPageBreaks="0"/>
  </sheetPr>
  <dimension ref="A1:T492"/>
  <sheetViews>
    <sheetView showGridLines="0" zoomScaleNormal="100" zoomScaleSheetLayoutView="100" workbookViewId="0">
      <pane ySplit="1" topLeftCell="A128" activePane="bottomLeft" state="frozen"/>
      <selection sqref="A1:XFD1"/>
      <selection pane="bottomLeft"/>
    </sheetView>
  </sheetViews>
  <sheetFormatPr defaultColWidth="9.140625" defaultRowHeight="15" customHeight="1"/>
  <cols>
    <col min="1" max="1" width="9.140625" style="42"/>
    <col min="2" max="2" width="36.5703125" style="42" bestFit="1" customWidth="1"/>
    <col min="3" max="3" width="8.42578125" style="42" bestFit="1" customWidth="1"/>
    <col min="4" max="4" width="43.5703125" style="42" bestFit="1" customWidth="1"/>
    <col min="5" max="5" width="2.140625" style="42" bestFit="1" customWidth="1"/>
    <col min="6" max="11" width="11.42578125" style="42" bestFit="1" customWidth="1"/>
    <col min="12" max="12" width="1.7109375" style="42" customWidth="1"/>
    <col min="13" max="13" width="11.85546875" style="43" bestFit="1" customWidth="1"/>
    <col min="14" max="17" width="10.28515625" style="43" bestFit="1" customWidth="1"/>
    <col min="18" max="18" width="11.42578125" style="43" customWidth="1"/>
    <col min="19" max="19" width="26" style="42" bestFit="1" customWidth="1"/>
    <col min="20" max="20" width="10" style="42" bestFit="1" customWidth="1"/>
    <col min="21" max="16384" width="9.140625" style="42"/>
  </cols>
  <sheetData>
    <row r="1" spans="1:20" ht="58.5" customHeight="1">
      <c r="A1" s="58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138" t="s">
        <v>193</v>
      </c>
    </row>
    <row r="2" spans="1:20" s="58" customFormat="1" ht="15" customHeight="1">
      <c r="B2" s="83"/>
      <c r="C2" s="31"/>
      <c r="D2" s="84"/>
      <c r="E2" s="39"/>
      <c r="F2" s="85"/>
      <c r="G2" s="85"/>
      <c r="H2" s="85"/>
      <c r="I2" s="86"/>
      <c r="J2" s="86"/>
      <c r="K2" s="86"/>
      <c r="L2" s="87"/>
      <c r="M2" s="88"/>
      <c r="N2" s="56"/>
      <c r="O2" s="56"/>
      <c r="P2" s="56"/>
      <c r="Q2" s="56"/>
      <c r="R2" s="56"/>
    </row>
    <row r="3" spans="1:20" s="35" customFormat="1" ht="15" customHeight="1" thickBot="1">
      <c r="A3" s="58" t="s">
        <v>64</v>
      </c>
      <c r="B3" s="93" t="s">
        <v>95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</row>
    <row r="4" spans="1:20" s="35" customFormat="1" ht="15" customHeight="1" thickTop="1">
      <c r="B4" s="30"/>
      <c r="C4" s="31"/>
      <c r="D4" s="32"/>
      <c r="E4" s="32"/>
      <c r="F4" s="33"/>
      <c r="G4" s="33"/>
      <c r="H4" s="33"/>
      <c r="I4" s="34"/>
      <c r="J4" s="34"/>
      <c r="K4" s="34"/>
      <c r="M4" s="36"/>
      <c r="N4" s="37"/>
      <c r="O4" s="36"/>
      <c r="P4" s="36"/>
      <c r="Q4" s="36"/>
      <c r="R4" s="36"/>
    </row>
    <row r="5" spans="1:20" s="35" customFormat="1" ht="15" customHeight="1" thickBot="1">
      <c r="B5" s="5" t="s">
        <v>16</v>
      </c>
      <c r="C5" s="31"/>
      <c r="D5" s="39"/>
      <c r="E5" s="39"/>
      <c r="F5" s="40">
        <v>2020</v>
      </c>
      <c r="G5" s="40">
        <v>2021</v>
      </c>
      <c r="H5" s="40">
        <v>2022</v>
      </c>
      <c r="I5" s="40">
        <v>2023</v>
      </c>
      <c r="J5" s="40">
        <v>2024</v>
      </c>
      <c r="K5" s="40">
        <v>2025</v>
      </c>
      <c r="M5" s="40">
        <f t="shared" ref="M5:R5" si="0">+F5</f>
        <v>2020</v>
      </c>
      <c r="N5" s="40">
        <f t="shared" si="0"/>
        <v>2021</v>
      </c>
      <c r="O5" s="40">
        <f t="shared" si="0"/>
        <v>2022</v>
      </c>
      <c r="P5" s="40">
        <f t="shared" si="0"/>
        <v>2023</v>
      </c>
      <c r="Q5" s="40">
        <f t="shared" si="0"/>
        <v>2024</v>
      </c>
      <c r="R5" s="40">
        <f t="shared" si="0"/>
        <v>2025</v>
      </c>
    </row>
    <row r="6" spans="1:20" ht="15" customHeight="1">
      <c r="A6" s="58"/>
      <c r="B6" s="38"/>
      <c r="C6" s="31"/>
      <c r="D6" s="39"/>
      <c r="E6" s="39"/>
      <c r="F6" s="39"/>
      <c r="G6" s="39"/>
      <c r="H6" s="39"/>
      <c r="I6" s="41"/>
      <c r="J6" s="41"/>
      <c r="K6" s="41"/>
      <c r="N6" s="37"/>
    </row>
    <row r="7" spans="1:20" s="35" customFormat="1" ht="15" customHeight="1">
      <c r="B7" s="38"/>
      <c r="C7" s="31"/>
      <c r="D7" s="39"/>
      <c r="E7" s="39"/>
      <c r="F7" s="39"/>
      <c r="G7" s="39"/>
      <c r="H7" s="39"/>
      <c r="M7" s="36"/>
      <c r="N7" s="36"/>
      <c r="O7" s="36"/>
      <c r="P7" s="36"/>
      <c r="Q7" s="36"/>
      <c r="R7" s="36"/>
    </row>
    <row r="8" spans="1:20" s="58" customFormat="1" ht="15" customHeight="1">
      <c r="B8" s="44" t="s">
        <v>96</v>
      </c>
      <c r="C8" s="45" t="s">
        <v>97</v>
      </c>
      <c r="D8" s="46" t="s">
        <v>12</v>
      </c>
      <c r="E8" s="45" t="s">
        <v>97</v>
      </c>
      <c r="F8" s="47">
        <f>'Financial Statements'!F34</f>
        <v>608880</v>
      </c>
      <c r="G8" s="47">
        <f>'Financial Statements'!G34</f>
        <v>833136</v>
      </c>
      <c r="H8" s="47">
        <f>'Financial Statements'!H34</f>
        <v>939294</v>
      </c>
      <c r="I8" s="47">
        <f>'Financial Statements'!I34</f>
        <v>1257457</v>
      </c>
      <c r="J8" s="47">
        <f>'Financial Statements'!J34</f>
        <v>1525913</v>
      </c>
      <c r="K8" s="47">
        <f>'Financial Statements'!K34</f>
        <v>1599515</v>
      </c>
      <c r="L8" s="48" t="s">
        <v>97</v>
      </c>
      <c r="M8" s="49">
        <f t="shared" ref="M8:R8" si="1">IF(F9=0,,F8/F9)</f>
        <v>0.34030775696902088</v>
      </c>
      <c r="N8" s="49">
        <f t="shared" si="1"/>
        <v>0.37674322696408091</v>
      </c>
      <c r="O8" s="49">
        <f t="shared" si="1"/>
        <v>0.36092168760112925</v>
      </c>
      <c r="P8" s="49">
        <f t="shared" si="1"/>
        <v>0.40951214444500167</v>
      </c>
      <c r="Q8" s="49">
        <f t="shared" si="1"/>
        <v>0.43065495459238134</v>
      </c>
      <c r="R8" s="49">
        <f t="shared" si="1"/>
        <v>0.40858759019112884</v>
      </c>
      <c r="S8" s="77"/>
      <c r="T8" s="77"/>
    </row>
    <row r="9" spans="1:20" s="58" customFormat="1" ht="15" customHeight="1">
      <c r="B9" s="44"/>
      <c r="C9" s="50"/>
      <c r="D9" s="50" t="s">
        <v>89</v>
      </c>
      <c r="E9" s="50"/>
      <c r="F9" s="51">
        <f>'Financial Statements'!F106</f>
        <v>1789204</v>
      </c>
      <c r="G9" s="51">
        <f>'Financial Statements'!G106</f>
        <v>2211416</v>
      </c>
      <c r="H9" s="51">
        <f>'Financial Statements'!H106</f>
        <v>2602487</v>
      </c>
      <c r="I9" s="51">
        <f>'Financial Statements'!I106</f>
        <v>3070622</v>
      </c>
      <c r="J9" s="51">
        <f>'Financial Statements'!J106</f>
        <v>3543238</v>
      </c>
      <c r="K9" s="51">
        <f>'Financial Statements'!K106</f>
        <v>3914742</v>
      </c>
      <c r="L9" s="52"/>
      <c r="M9" s="53"/>
      <c r="N9" s="53"/>
      <c r="O9" s="53"/>
      <c r="P9" s="53"/>
      <c r="Q9" s="53"/>
      <c r="R9" s="53"/>
    </row>
    <row r="10" spans="1:20" s="58" customFormat="1" ht="15" customHeight="1">
      <c r="B10" s="44"/>
      <c r="C10" s="50"/>
      <c r="D10" s="50"/>
      <c r="E10" s="50"/>
      <c r="F10" s="51"/>
      <c r="G10" s="51"/>
      <c r="H10" s="51"/>
      <c r="I10" s="51"/>
      <c r="J10" s="51"/>
      <c r="K10" s="51"/>
      <c r="L10" s="52"/>
      <c r="M10" s="53"/>
      <c r="N10" s="53"/>
      <c r="O10" s="53"/>
      <c r="P10" s="53"/>
      <c r="Q10" s="53"/>
      <c r="R10" s="53"/>
    </row>
    <row r="11" spans="1:20" s="58" customFormat="1" ht="15" customHeight="1">
      <c r="B11" s="44" t="s">
        <v>98</v>
      </c>
      <c r="C11" s="45" t="s">
        <v>97</v>
      </c>
      <c r="D11" s="46" t="s">
        <v>12</v>
      </c>
      <c r="E11" s="45" t="s">
        <v>97</v>
      </c>
      <c r="F11" s="47">
        <f>F8</f>
        <v>608880</v>
      </c>
      <c r="G11" s="47">
        <f t="shared" ref="G11:K11" si="2">G8</f>
        <v>833136</v>
      </c>
      <c r="H11" s="47">
        <f t="shared" si="2"/>
        <v>939294</v>
      </c>
      <c r="I11" s="47">
        <f t="shared" si="2"/>
        <v>1257457</v>
      </c>
      <c r="J11" s="47">
        <f t="shared" si="2"/>
        <v>1525913</v>
      </c>
      <c r="K11" s="47">
        <f t="shared" si="2"/>
        <v>1599515</v>
      </c>
      <c r="L11" s="48" t="s">
        <v>97</v>
      </c>
      <c r="M11" s="49">
        <f t="shared" ref="M11:R11" si="3">IF(F12=0,,F11/F12)</f>
        <v>9.723338071400614E-2</v>
      </c>
      <c r="N11" s="49">
        <f t="shared" si="3"/>
        <v>0.12138637620282931</v>
      </c>
      <c r="O11" s="49">
        <f t="shared" si="3"/>
        <v>0.12095228026701098</v>
      </c>
      <c r="P11" s="49">
        <f t="shared" si="3"/>
        <v>0.1561803840169155</v>
      </c>
      <c r="Q11" s="49">
        <f t="shared" si="3"/>
        <v>0.16067068991042152</v>
      </c>
      <c r="R11" s="49">
        <f t="shared" si="3"/>
        <v>0.16612552179230672</v>
      </c>
    </row>
    <row r="12" spans="1:20" s="58" customFormat="1" ht="15" customHeight="1">
      <c r="B12" s="44"/>
      <c r="C12" s="50"/>
      <c r="D12" s="50" t="s">
        <v>54</v>
      </c>
      <c r="E12" s="50"/>
      <c r="F12" s="51">
        <f>'Financial Statements'!F99</f>
        <v>6262047</v>
      </c>
      <c r="G12" s="51">
        <f>'Financial Statements'!G99</f>
        <v>6863505</v>
      </c>
      <c r="H12" s="51">
        <f>'Financial Statements'!H99</f>
        <v>7765823</v>
      </c>
      <c r="I12" s="51">
        <f>'Financial Statements'!I99</f>
        <v>8051312</v>
      </c>
      <c r="J12" s="51">
        <f>'Financial Statements'!J99</f>
        <v>9497146</v>
      </c>
      <c r="K12" s="51">
        <f>'Financial Statements'!K99</f>
        <v>9628352</v>
      </c>
      <c r="L12" s="52"/>
      <c r="M12" s="53"/>
      <c r="N12" s="53"/>
      <c r="O12" s="53"/>
      <c r="P12" s="53"/>
      <c r="Q12" s="53"/>
      <c r="R12" s="53"/>
    </row>
    <row r="13" spans="1:20" s="58" customFormat="1" ht="15" customHeight="1">
      <c r="B13" s="44"/>
      <c r="C13" s="50"/>
      <c r="D13" s="50"/>
      <c r="E13" s="50"/>
      <c r="F13" s="51"/>
      <c r="G13" s="51"/>
      <c r="H13" s="51"/>
      <c r="I13" s="51"/>
      <c r="J13" s="51"/>
      <c r="K13" s="51"/>
      <c r="L13" s="52"/>
      <c r="M13" s="53"/>
      <c r="N13" s="53"/>
      <c r="O13" s="53"/>
      <c r="P13" s="53"/>
      <c r="Q13" s="53"/>
      <c r="R13" s="53"/>
    </row>
    <row r="14" spans="1:20" s="58" customFormat="1" ht="15" customHeight="1">
      <c r="B14" s="44" t="s">
        <v>99</v>
      </c>
      <c r="C14" s="45" t="s">
        <v>97</v>
      </c>
      <c r="D14" s="46" t="s">
        <v>12</v>
      </c>
      <c r="E14" s="45" t="s">
        <v>97</v>
      </c>
      <c r="F14" s="47">
        <f>F11</f>
        <v>608880</v>
      </c>
      <c r="G14" s="47">
        <f t="shared" ref="G14:K14" si="4">G11</f>
        <v>833136</v>
      </c>
      <c r="H14" s="47">
        <f t="shared" si="4"/>
        <v>939294</v>
      </c>
      <c r="I14" s="47">
        <f t="shared" si="4"/>
        <v>1257457</v>
      </c>
      <c r="J14" s="47">
        <f t="shared" si="4"/>
        <v>1525913</v>
      </c>
      <c r="K14" s="47">
        <f t="shared" si="4"/>
        <v>1599515</v>
      </c>
      <c r="L14" s="48" t="s">
        <v>97</v>
      </c>
      <c r="M14" s="49">
        <f t="shared" ref="M14:R14" si="5">IF(F15=0,,F14/F15)</f>
        <v>0.19320060046777088</v>
      </c>
      <c r="N14" s="49">
        <f t="shared" si="5"/>
        <v>0.23822392309911614</v>
      </c>
      <c r="O14" s="49">
        <f t="shared" si="5"/>
        <v>0.23334380857388087</v>
      </c>
      <c r="P14" s="49">
        <f t="shared" si="5"/>
        <v>0.28411797388375098</v>
      </c>
      <c r="Q14" s="49">
        <f t="shared" si="5"/>
        <v>0.29612634564688861</v>
      </c>
      <c r="R14" s="49">
        <f t="shared" si="5"/>
        <v>0.30002620398101681</v>
      </c>
    </row>
    <row r="15" spans="1:20" s="58" customFormat="1" ht="15" customHeight="1">
      <c r="B15" s="44"/>
      <c r="C15" s="50"/>
      <c r="D15" s="50" t="s">
        <v>100</v>
      </c>
      <c r="E15" s="50"/>
      <c r="F15" s="51">
        <f>'Financial Statements'!F152</f>
        <v>3151543</v>
      </c>
      <c r="G15" s="51">
        <f>'Financial Statements'!G152</f>
        <v>3497281</v>
      </c>
      <c r="H15" s="51">
        <f>'Financial Statements'!H152</f>
        <v>4025365</v>
      </c>
      <c r="I15" s="51">
        <f>'Financial Statements'!I152</f>
        <v>4425827</v>
      </c>
      <c r="J15" s="51">
        <f>'Financial Statements'!J152</f>
        <v>5152912</v>
      </c>
      <c r="K15" s="51">
        <f>'Financial Statements'!K152</f>
        <v>5331251</v>
      </c>
      <c r="L15" s="52"/>
      <c r="M15" s="53"/>
      <c r="N15" s="53"/>
      <c r="O15" s="53"/>
      <c r="P15" s="53"/>
      <c r="Q15" s="53"/>
      <c r="R15" s="53"/>
    </row>
    <row r="16" spans="1:20" s="58" customFormat="1" ht="15" customHeight="1">
      <c r="B16" s="44"/>
      <c r="C16" s="50"/>
      <c r="D16" s="50"/>
      <c r="E16" s="50"/>
      <c r="F16" s="51"/>
      <c r="G16" s="51"/>
      <c r="H16" s="51"/>
      <c r="I16" s="51"/>
      <c r="J16" s="51"/>
      <c r="K16" s="51"/>
      <c r="L16" s="52"/>
      <c r="M16" s="53"/>
      <c r="N16" s="53"/>
      <c r="O16" s="53"/>
      <c r="P16" s="53"/>
      <c r="Q16" s="53"/>
      <c r="R16" s="53"/>
    </row>
    <row r="17" spans="2:20" s="58" customFormat="1" ht="15" customHeight="1">
      <c r="B17" s="44" t="s">
        <v>101</v>
      </c>
      <c r="C17" s="45" t="s">
        <v>97</v>
      </c>
      <c r="D17" s="46" t="s">
        <v>82</v>
      </c>
      <c r="E17" s="45" t="s">
        <v>97</v>
      </c>
      <c r="F17" s="47">
        <f>'Financial Statements'!F136</f>
        <v>653691.94683937123</v>
      </c>
      <c r="G17" s="47">
        <f>'Financial Statements'!G136</f>
        <v>859720.89716003463</v>
      </c>
      <c r="H17" s="47">
        <f>'Financial Statements'!H136</f>
        <v>978863.83908857952</v>
      </c>
      <c r="I17" s="47">
        <f>'Financial Statements'!I136</f>
        <v>1269240.1121306529</v>
      </c>
      <c r="J17" s="47">
        <f>'Financial Statements'!J136</f>
        <v>1524939.5918502074</v>
      </c>
      <c r="K17" s="47">
        <f>'Financial Statements'!K136</f>
        <v>1635232.2108595809</v>
      </c>
      <c r="L17" s="48" t="s">
        <v>97</v>
      </c>
      <c r="M17" s="49">
        <f t="shared" ref="M17:R17" si="6">IF(F18=0,,F17/F18)</f>
        <v>0.20741965026000636</v>
      </c>
      <c r="N17" s="49">
        <f t="shared" si="6"/>
        <v>0.24582551335166794</v>
      </c>
      <c r="O17" s="49">
        <f t="shared" si="6"/>
        <v>0.24317393306907065</v>
      </c>
      <c r="P17" s="49">
        <f t="shared" si="6"/>
        <v>0.28678032650861701</v>
      </c>
      <c r="Q17" s="49">
        <f t="shared" si="6"/>
        <v>0.29593744116922771</v>
      </c>
      <c r="R17" s="49">
        <f t="shared" si="6"/>
        <v>0.30672579678945538</v>
      </c>
    </row>
    <row r="18" spans="2:20" s="58" customFormat="1" ht="15" customHeight="1">
      <c r="B18" s="44"/>
      <c r="C18" s="50"/>
      <c r="D18" s="50" t="s">
        <v>102</v>
      </c>
      <c r="E18" s="50"/>
      <c r="F18" s="51">
        <f>'Financial Statements'!F145</f>
        <v>3151543</v>
      </c>
      <c r="G18" s="51">
        <f>'Financial Statements'!G145</f>
        <v>3497281</v>
      </c>
      <c r="H18" s="51">
        <f>'Financial Statements'!H145</f>
        <v>4025365</v>
      </c>
      <c r="I18" s="51">
        <f>'Financial Statements'!I145</f>
        <v>4425827</v>
      </c>
      <c r="J18" s="51">
        <f>'Financial Statements'!J145</f>
        <v>5152912</v>
      </c>
      <c r="K18" s="51">
        <f>'Financial Statements'!K145</f>
        <v>5331251</v>
      </c>
      <c r="L18" s="52"/>
      <c r="M18" s="53"/>
      <c r="N18" s="53"/>
      <c r="O18" s="53"/>
      <c r="P18" s="53"/>
      <c r="Q18" s="53"/>
      <c r="R18" s="53"/>
    </row>
    <row r="19" spans="2:20" s="58" customFormat="1" ht="15" customHeight="1">
      <c r="B19" s="44"/>
      <c r="C19" s="50"/>
      <c r="D19" s="50"/>
      <c r="E19" s="50"/>
      <c r="F19" s="51"/>
      <c r="G19" s="51"/>
      <c r="H19" s="51"/>
      <c r="I19" s="51"/>
      <c r="J19" s="51"/>
      <c r="K19" s="51"/>
      <c r="L19" s="52"/>
      <c r="M19" s="53"/>
      <c r="N19" s="53"/>
      <c r="O19" s="53"/>
      <c r="P19" s="53"/>
      <c r="Q19" s="53"/>
      <c r="R19" s="53"/>
      <c r="T19" s="89"/>
    </row>
    <row r="20" spans="2:20" s="58" customFormat="1" ht="15" customHeight="1">
      <c r="B20" s="44" t="s">
        <v>103</v>
      </c>
      <c r="C20" s="45" t="s">
        <v>97</v>
      </c>
      <c r="D20" s="46" t="s">
        <v>104</v>
      </c>
      <c r="E20" s="45" t="s">
        <v>97</v>
      </c>
      <c r="F20" s="47">
        <f>'Financial Statements'!F11</f>
        <v>1991418</v>
      </c>
      <c r="G20" s="47">
        <f>'Financial Statements'!G11</f>
        <v>2420378</v>
      </c>
      <c r="H20" s="47">
        <f>'Financial Statements'!H11</f>
        <v>2706150</v>
      </c>
      <c r="I20" s="47">
        <f>'Financial Statements'!I11</f>
        <v>3264473</v>
      </c>
      <c r="J20" s="47">
        <f>'Financial Statements'!J11</f>
        <v>3646823</v>
      </c>
      <c r="K20" s="47">
        <f>'Financial Statements'!K11</f>
        <v>3991531</v>
      </c>
      <c r="L20" s="48" t="s">
        <v>97</v>
      </c>
      <c r="M20" s="49">
        <f t="shared" ref="M20:R20" si="7">IF(F21=0,,F20/F21)</f>
        <v>0.57558926986898051</v>
      </c>
      <c r="N20" s="49">
        <f t="shared" si="7"/>
        <v>0.56671460354670478</v>
      </c>
      <c r="O20" s="49">
        <f t="shared" si="7"/>
        <v>0.53111189353857535</v>
      </c>
      <c r="P20" s="49">
        <f t="shared" si="7"/>
        <v>0.5467995255057414</v>
      </c>
      <c r="Q20" s="49">
        <f t="shared" si="7"/>
        <v>0.54620403470713241</v>
      </c>
      <c r="R20" s="49">
        <f t="shared" si="7"/>
        <v>0.55858670474608185</v>
      </c>
      <c r="S20" s="91"/>
    </row>
    <row r="21" spans="2:20" s="58" customFormat="1" ht="15" customHeight="1">
      <c r="B21" s="44"/>
      <c r="C21" s="50"/>
      <c r="D21" s="50" t="str">
        <f>+D30</f>
        <v>Revenue</v>
      </c>
      <c r="E21" s="50"/>
      <c r="F21" s="51">
        <f>'Financial Statements'!F8</f>
        <v>3459790</v>
      </c>
      <c r="G21" s="51">
        <f>'Financial Statements'!G8</f>
        <v>4270894</v>
      </c>
      <c r="H21" s="51">
        <f>'Financial Statements'!H8</f>
        <v>5095254</v>
      </c>
      <c r="I21" s="51">
        <f>'Financial Statements'!I8</f>
        <v>5970146</v>
      </c>
      <c r="J21" s="51">
        <f>'Financial Statements'!J8</f>
        <v>6676668</v>
      </c>
      <c r="K21" s="51">
        <f>'Financial Statements'!K8</f>
        <v>7145768</v>
      </c>
      <c r="L21" s="52"/>
      <c r="M21" s="53"/>
      <c r="N21" s="53"/>
      <c r="O21" s="53"/>
      <c r="P21" s="53"/>
      <c r="Q21" s="53"/>
      <c r="R21" s="53"/>
    </row>
    <row r="22" spans="2:20" s="58" customFormat="1" ht="15" customHeight="1">
      <c r="B22" s="44"/>
      <c r="C22" s="50"/>
      <c r="D22" s="50"/>
      <c r="E22" s="50"/>
      <c r="F22" s="51"/>
      <c r="G22" s="51"/>
      <c r="H22" s="51"/>
      <c r="I22" s="51"/>
      <c r="J22" s="51"/>
      <c r="K22" s="51"/>
      <c r="L22" s="52"/>
      <c r="M22" s="53"/>
      <c r="N22" s="53"/>
      <c r="O22" s="53"/>
      <c r="P22" s="53"/>
      <c r="Q22" s="53"/>
      <c r="R22" s="53"/>
    </row>
    <row r="23" spans="2:20" s="58" customFormat="1" ht="15" customHeight="1">
      <c r="B23" s="44" t="s">
        <v>105</v>
      </c>
      <c r="C23" s="45" t="s">
        <v>97</v>
      </c>
      <c r="D23" s="46" t="s">
        <v>4</v>
      </c>
      <c r="E23" s="45" t="s">
        <v>97</v>
      </c>
      <c r="F23" s="47">
        <f>-'Financial Statements'!F14</f>
        <v>336126</v>
      </c>
      <c r="G23" s="47">
        <f>-'Financial Statements'!G14</f>
        <v>348024</v>
      </c>
      <c r="H23" s="47">
        <f>-'Financial Statements'!H14</f>
        <v>427974</v>
      </c>
      <c r="I23" s="47">
        <f>-'Financial Statements'!I14</f>
        <v>462580</v>
      </c>
      <c r="J23" s="47">
        <f>-'Financial Statements'!J14</f>
        <v>561144</v>
      </c>
      <c r="K23" s="47">
        <f>-'Financial Statements'!K14</f>
        <v>642490</v>
      </c>
      <c r="L23" s="48" t="s">
        <v>97</v>
      </c>
      <c r="M23" s="49">
        <f t="shared" ref="M23:R23" si="8">IF(F24=0,,F23/F24)</f>
        <v>9.7152139291691114E-2</v>
      </c>
      <c r="N23" s="49">
        <f t="shared" si="8"/>
        <v>8.148738882304267E-2</v>
      </c>
      <c r="O23" s="49">
        <f t="shared" si="8"/>
        <v>8.3994635007401008E-2</v>
      </c>
      <c r="P23" s="49">
        <f t="shared" si="8"/>
        <v>7.7482192227794761E-2</v>
      </c>
      <c r="Q23" s="49">
        <f t="shared" si="8"/>
        <v>8.4045514918519235E-2</v>
      </c>
      <c r="R23" s="49">
        <f t="shared" si="8"/>
        <v>8.9911959078436354E-2</v>
      </c>
    </row>
    <row r="24" spans="2:20" s="58" customFormat="1" ht="15" customHeight="1">
      <c r="B24" s="44"/>
      <c r="C24" s="50"/>
      <c r="D24" s="50" t="str">
        <f>+D21</f>
        <v>Revenue</v>
      </c>
      <c r="E24" s="50"/>
      <c r="F24" s="51">
        <f>F21</f>
        <v>3459790</v>
      </c>
      <c r="G24" s="51">
        <f t="shared" ref="G24:K24" si="9">G21</f>
        <v>4270894</v>
      </c>
      <c r="H24" s="51">
        <f t="shared" si="9"/>
        <v>5095254</v>
      </c>
      <c r="I24" s="51">
        <f t="shared" si="9"/>
        <v>5970146</v>
      </c>
      <c r="J24" s="51">
        <f t="shared" si="9"/>
        <v>6676668</v>
      </c>
      <c r="K24" s="51">
        <f t="shared" si="9"/>
        <v>7145768</v>
      </c>
      <c r="L24" s="52"/>
      <c r="M24" s="53"/>
      <c r="N24" s="53"/>
      <c r="O24" s="53"/>
      <c r="P24" s="53"/>
      <c r="Q24" s="53"/>
      <c r="R24" s="53"/>
    </row>
    <row r="25" spans="2:20" s="58" customFormat="1" ht="15" customHeight="1">
      <c r="B25" s="44"/>
      <c r="C25" s="50"/>
      <c r="D25" s="50"/>
      <c r="E25" s="50"/>
      <c r="F25" s="51"/>
      <c r="G25" s="51"/>
      <c r="H25" s="51"/>
      <c r="I25" s="51"/>
      <c r="J25" s="51"/>
      <c r="K25" s="51"/>
      <c r="L25" s="52"/>
      <c r="M25" s="53"/>
      <c r="N25" s="53"/>
      <c r="O25" s="53"/>
      <c r="P25" s="53"/>
      <c r="Q25" s="53"/>
      <c r="R25" s="53"/>
    </row>
    <row r="26" spans="2:20" s="58" customFormat="1" ht="15" customHeight="1">
      <c r="B26" s="44" t="s">
        <v>106</v>
      </c>
      <c r="C26" s="45" t="s">
        <v>97</v>
      </c>
      <c r="D26" s="46" t="s">
        <v>107</v>
      </c>
      <c r="E26" s="45" t="s">
        <v>97</v>
      </c>
      <c r="F26" s="47">
        <f>F20-F23-F29</f>
        <v>512528</v>
      </c>
      <c r="G26" s="47">
        <f t="shared" ref="G26:K26" si="10">G20-G23-G29</f>
        <v>540877</v>
      </c>
      <c r="H26" s="47">
        <f t="shared" si="10"/>
        <v>504569</v>
      </c>
      <c r="I26" s="47">
        <f t="shared" si="10"/>
        <v>522219</v>
      </c>
      <c r="J26" s="47">
        <f t="shared" si="10"/>
        <v>531151</v>
      </c>
      <c r="K26" s="47">
        <f t="shared" si="10"/>
        <v>577389</v>
      </c>
      <c r="L26" s="48" t="s">
        <v>97</v>
      </c>
      <c r="M26" s="49">
        <f t="shared" ref="M26:R26" si="11">IF(F27=0,,F26/F27)</f>
        <v>0.14813847083204473</v>
      </c>
      <c r="N26" s="49">
        <f t="shared" si="11"/>
        <v>0.12664257178941926</v>
      </c>
      <c r="O26" s="49">
        <f t="shared" si="11"/>
        <v>9.9027251634560318E-2</v>
      </c>
      <c r="P26" s="49">
        <f t="shared" si="11"/>
        <v>8.7471730172092949E-2</v>
      </c>
      <c r="Q26" s="49">
        <f t="shared" si="11"/>
        <v>7.9553304133139463E-2</v>
      </c>
      <c r="R26" s="49">
        <f t="shared" si="11"/>
        <v>8.0801531759777251E-2</v>
      </c>
    </row>
    <row r="27" spans="2:20" s="58" customFormat="1" ht="15" customHeight="1">
      <c r="B27" s="44"/>
      <c r="C27" s="50"/>
      <c r="D27" s="50" t="str">
        <f>+D24</f>
        <v>Revenue</v>
      </c>
      <c r="E27" s="50"/>
      <c r="F27" s="51">
        <f>F24</f>
        <v>3459790</v>
      </c>
      <c r="G27" s="51">
        <f t="shared" ref="G27:K27" si="12">G24</f>
        <v>4270894</v>
      </c>
      <c r="H27" s="51">
        <f t="shared" si="12"/>
        <v>5095254</v>
      </c>
      <c r="I27" s="51">
        <f t="shared" si="12"/>
        <v>5970146</v>
      </c>
      <c r="J27" s="51">
        <f t="shared" si="12"/>
        <v>6676668</v>
      </c>
      <c r="K27" s="51">
        <f t="shared" si="12"/>
        <v>7145768</v>
      </c>
      <c r="L27" s="52"/>
      <c r="M27" s="53"/>
      <c r="N27" s="53"/>
      <c r="O27" s="53"/>
      <c r="P27" s="53"/>
      <c r="Q27" s="53"/>
      <c r="R27" s="53"/>
    </row>
    <row r="28" spans="2:20" s="58" customFormat="1" ht="15" customHeight="1">
      <c r="B28" s="44"/>
      <c r="C28" s="50"/>
      <c r="D28" s="50"/>
      <c r="E28" s="50"/>
      <c r="F28" s="51"/>
      <c r="G28" s="51"/>
      <c r="H28" s="51"/>
      <c r="I28" s="51"/>
      <c r="J28" s="51"/>
      <c r="K28" s="51"/>
      <c r="L28" s="52"/>
      <c r="M28" s="53"/>
      <c r="N28" s="53"/>
      <c r="O28" s="53"/>
      <c r="P28" s="53"/>
      <c r="Q28" s="53"/>
      <c r="R28" s="53"/>
    </row>
    <row r="29" spans="2:20" s="58" customFormat="1" ht="15" customHeight="1">
      <c r="B29" s="44" t="s">
        <v>108</v>
      </c>
      <c r="C29" s="45" t="s">
        <v>97</v>
      </c>
      <c r="D29" s="46" t="s">
        <v>6</v>
      </c>
      <c r="E29" s="45" t="s">
        <v>97</v>
      </c>
      <c r="F29" s="47">
        <f>'Financial Statements'!F19</f>
        <v>1142764</v>
      </c>
      <c r="G29" s="47">
        <f>'Financial Statements'!G19</f>
        <v>1531477</v>
      </c>
      <c r="H29" s="47">
        <f>'Financial Statements'!H19</f>
        <v>1773607</v>
      </c>
      <c r="I29" s="47">
        <f>'Financial Statements'!I19</f>
        <v>2279674</v>
      </c>
      <c r="J29" s="47">
        <f>'Financial Statements'!J19</f>
        <v>2554528</v>
      </c>
      <c r="K29" s="47">
        <f>'Financial Statements'!K19</f>
        <v>2771652</v>
      </c>
      <c r="L29" s="48" t="s">
        <v>97</v>
      </c>
      <c r="M29" s="49">
        <f t="shared" ref="M29:R29" si="13">IF(F30=0,,F29/F30)</f>
        <v>0.33029865974524464</v>
      </c>
      <c r="N29" s="49">
        <f t="shared" si="13"/>
        <v>0.3585846429342428</v>
      </c>
      <c r="O29" s="49">
        <f t="shared" si="13"/>
        <v>0.34809000689661401</v>
      </c>
      <c r="P29" s="49">
        <f t="shared" si="13"/>
        <v>0.38184560310585369</v>
      </c>
      <c r="Q29" s="49">
        <f t="shared" si="13"/>
        <v>0.38260521565547367</v>
      </c>
      <c r="R29" s="49">
        <f t="shared" si="13"/>
        <v>0.38787321390786828</v>
      </c>
    </row>
    <row r="30" spans="2:20" s="58" customFormat="1" ht="15" customHeight="1">
      <c r="B30" s="44"/>
      <c r="C30" s="50"/>
      <c r="D30" s="50" t="str">
        <f>+D37</f>
        <v>Revenue</v>
      </c>
      <c r="E30" s="50"/>
      <c r="F30" s="51">
        <f>F27</f>
        <v>3459790</v>
      </c>
      <c r="G30" s="51">
        <f t="shared" ref="G30:K30" si="14">G27</f>
        <v>4270894</v>
      </c>
      <c r="H30" s="51">
        <f t="shared" si="14"/>
        <v>5095254</v>
      </c>
      <c r="I30" s="51">
        <f t="shared" si="14"/>
        <v>5970146</v>
      </c>
      <c r="J30" s="51">
        <f t="shared" si="14"/>
        <v>6676668</v>
      </c>
      <c r="K30" s="51">
        <f t="shared" si="14"/>
        <v>7145768</v>
      </c>
      <c r="L30" s="52"/>
      <c r="M30" s="55"/>
      <c r="N30" s="55"/>
      <c r="O30" s="55"/>
      <c r="P30" s="55"/>
      <c r="Q30" s="55"/>
      <c r="R30" s="55"/>
    </row>
    <row r="31" spans="2:20" s="58" customFormat="1" ht="15" customHeight="1">
      <c r="B31" s="44" t="s">
        <v>109</v>
      </c>
      <c r="C31" s="50"/>
      <c r="D31" s="50"/>
      <c r="E31" s="50"/>
      <c r="F31" s="51"/>
      <c r="G31" s="51"/>
      <c r="H31" s="51"/>
      <c r="I31" s="51"/>
      <c r="J31" s="51"/>
      <c r="K31" s="51"/>
      <c r="L31" s="52"/>
      <c r="M31" s="57" t="str">
        <f>IF(ABS(M20-M23-M26-M29)&lt;0.0001,"OK","Error")</f>
        <v>OK</v>
      </c>
      <c r="N31" s="57" t="str">
        <f t="shared" ref="N31:R31" si="15">IF(ABS(N20-N23-N26-N29)&lt;0.0001,"OK","Error")</f>
        <v>OK</v>
      </c>
      <c r="O31" s="57" t="str">
        <f t="shared" si="15"/>
        <v>OK</v>
      </c>
      <c r="P31" s="57" t="str">
        <f t="shared" si="15"/>
        <v>OK</v>
      </c>
      <c r="Q31" s="57" t="str">
        <f t="shared" si="15"/>
        <v>OK</v>
      </c>
      <c r="R31" s="57" t="str">
        <f t="shared" si="15"/>
        <v>OK</v>
      </c>
    </row>
    <row r="32" spans="2:20" s="58" customFormat="1" ht="15" customHeight="1">
      <c r="B32" s="44"/>
      <c r="C32" s="50"/>
      <c r="D32" s="50"/>
      <c r="E32" s="50"/>
      <c r="F32" s="51"/>
      <c r="G32" s="51"/>
      <c r="H32" s="51"/>
      <c r="I32" s="51"/>
      <c r="J32" s="51"/>
      <c r="K32" s="51"/>
      <c r="L32" s="52"/>
      <c r="M32" s="55"/>
      <c r="N32" s="55"/>
      <c r="O32" s="55"/>
      <c r="P32" s="55"/>
      <c r="Q32" s="55"/>
      <c r="R32" s="55"/>
    </row>
    <row r="33" spans="2:18" ht="15" customHeight="1">
      <c r="B33" s="44" t="s">
        <v>110</v>
      </c>
      <c r="C33" s="45" t="s">
        <v>97</v>
      </c>
      <c r="D33" s="46" t="s">
        <v>13</v>
      </c>
      <c r="E33" s="45" t="s">
        <v>97</v>
      </c>
      <c r="F33" s="47">
        <f>-'Financial Statements'!F22</f>
        <v>426637</v>
      </c>
      <c r="G33" s="47">
        <f>-'Financial Statements'!G22</f>
        <v>455989</v>
      </c>
      <c r="H33" s="47">
        <f>-'Financial Statements'!H22</f>
        <v>546225</v>
      </c>
      <c r="I33" s="47">
        <f>-'Financial Statements'!I22</f>
        <v>662305</v>
      </c>
      <c r="J33" s="47">
        <f>-'Financial Statements'!J22</f>
        <v>666777</v>
      </c>
      <c r="K33" s="47">
        <f>-'Financial Statements'!K22</f>
        <v>661937</v>
      </c>
      <c r="L33" s="48" t="s">
        <v>97</v>
      </c>
      <c r="M33" s="49">
        <f t="shared" ref="M33:R33" si="16">IF(F34=0,,F33/F34)</f>
        <v>0.12331297564303036</v>
      </c>
      <c r="N33" s="49">
        <f t="shared" si="16"/>
        <v>0.10676663949046733</v>
      </c>
      <c r="O33" s="49">
        <f t="shared" si="16"/>
        <v>0.10720270275044189</v>
      </c>
      <c r="P33" s="49">
        <f t="shared" si="16"/>
        <v>0.11093614796020064</v>
      </c>
      <c r="Q33" s="49">
        <f t="shared" si="16"/>
        <v>9.9866729931756382E-2</v>
      </c>
      <c r="R33" s="49">
        <f t="shared" si="16"/>
        <v>9.2633430024596383E-2</v>
      </c>
    </row>
    <row r="34" spans="2:18" ht="15" customHeight="1">
      <c r="B34" s="44"/>
      <c r="C34" s="50"/>
      <c r="D34" s="50" t="str">
        <f>+D21</f>
        <v>Revenue</v>
      </c>
      <c r="E34" s="50"/>
      <c r="F34" s="51">
        <f>F30</f>
        <v>3459790</v>
      </c>
      <c r="G34" s="51">
        <f t="shared" ref="G34:K34" si="17">G30</f>
        <v>4270894</v>
      </c>
      <c r="H34" s="51">
        <f t="shared" si="17"/>
        <v>5095254</v>
      </c>
      <c r="I34" s="51">
        <f t="shared" si="17"/>
        <v>5970146</v>
      </c>
      <c r="J34" s="51">
        <f t="shared" si="17"/>
        <v>6676668</v>
      </c>
      <c r="K34" s="51">
        <f t="shared" si="17"/>
        <v>7145768</v>
      </c>
      <c r="L34" s="52"/>
      <c r="M34" s="53"/>
      <c r="N34" s="53"/>
      <c r="O34" s="53"/>
      <c r="P34" s="53"/>
      <c r="Q34" s="53"/>
      <c r="R34" s="53"/>
    </row>
    <row r="35" spans="2:18" s="58" customFormat="1" ht="15" customHeight="1">
      <c r="B35" s="44"/>
      <c r="C35" s="50"/>
      <c r="D35" s="50"/>
      <c r="E35" s="50"/>
      <c r="F35" s="51"/>
      <c r="G35" s="51"/>
      <c r="H35" s="51"/>
      <c r="I35" s="51"/>
      <c r="J35" s="51"/>
      <c r="K35" s="51"/>
      <c r="L35" s="52"/>
      <c r="M35" s="53"/>
      <c r="N35" s="53"/>
      <c r="O35" s="53"/>
      <c r="P35" s="53"/>
      <c r="Q35" s="53"/>
      <c r="R35" s="53"/>
    </row>
    <row r="36" spans="2:18" s="58" customFormat="1" ht="15" customHeight="1">
      <c r="B36" s="44" t="s">
        <v>111</v>
      </c>
      <c r="C36" s="45" t="s">
        <v>97</v>
      </c>
      <c r="D36" s="46" t="s">
        <v>7</v>
      </c>
      <c r="E36" s="45" t="s">
        <v>97</v>
      </c>
      <c r="F36" s="47">
        <f>'Financial Statements'!F23</f>
        <v>716127</v>
      </c>
      <c r="G36" s="47">
        <f>'Financial Statements'!G23</f>
        <v>1075488</v>
      </c>
      <c r="H36" s="47">
        <f>'Financial Statements'!H23</f>
        <v>1227382</v>
      </c>
      <c r="I36" s="47">
        <f>'Financial Statements'!I23</f>
        <v>1617369</v>
      </c>
      <c r="J36" s="47">
        <f>'Financial Statements'!J23</f>
        <v>1887751</v>
      </c>
      <c r="K36" s="47">
        <f>'Financial Statements'!K23</f>
        <v>2109715</v>
      </c>
      <c r="L36" s="48" t="s">
        <v>97</v>
      </c>
      <c r="M36" s="49">
        <f t="shared" ref="M36:R36" si="18">IF(F37=0,,F36/F37)</f>
        <v>0.2069856841022143</v>
      </c>
      <c r="N36" s="49">
        <f t="shared" si="18"/>
        <v>0.25181800344377547</v>
      </c>
      <c r="O36" s="49">
        <f t="shared" si="18"/>
        <v>0.2408873041461721</v>
      </c>
      <c r="P36" s="49">
        <f t="shared" si="18"/>
        <v>0.27090945514565307</v>
      </c>
      <c r="Q36" s="49">
        <f t="shared" si="18"/>
        <v>0.28273848572371729</v>
      </c>
      <c r="R36" s="49">
        <f t="shared" si="18"/>
        <v>0.29523978388327188</v>
      </c>
    </row>
    <row r="37" spans="2:18" s="58" customFormat="1" ht="15" customHeight="1">
      <c r="B37" s="44"/>
      <c r="C37" s="50"/>
      <c r="D37" s="50" t="str">
        <f>+D45</f>
        <v>Revenue</v>
      </c>
      <c r="E37" s="50"/>
      <c r="F37" s="51">
        <f>F34</f>
        <v>3459790</v>
      </c>
      <c r="G37" s="51">
        <f t="shared" ref="G37:K37" si="19">G34</f>
        <v>4270894</v>
      </c>
      <c r="H37" s="51">
        <f t="shared" si="19"/>
        <v>5095254</v>
      </c>
      <c r="I37" s="51">
        <f t="shared" si="19"/>
        <v>5970146</v>
      </c>
      <c r="J37" s="51">
        <f t="shared" si="19"/>
        <v>6676668</v>
      </c>
      <c r="K37" s="51">
        <f t="shared" si="19"/>
        <v>7145768</v>
      </c>
      <c r="L37" s="52"/>
      <c r="M37" s="55"/>
      <c r="N37" s="55"/>
      <c r="O37" s="55"/>
      <c r="P37" s="55"/>
      <c r="Q37" s="55"/>
      <c r="R37" s="55"/>
    </row>
    <row r="38" spans="2:18" s="58" customFormat="1" ht="15" customHeight="1">
      <c r="B38" s="44" t="s">
        <v>109</v>
      </c>
      <c r="C38" s="50"/>
      <c r="D38" s="50"/>
      <c r="E38" s="50"/>
      <c r="F38" s="51"/>
      <c r="G38" s="51"/>
      <c r="H38" s="51"/>
      <c r="I38" s="51"/>
      <c r="J38" s="51"/>
      <c r="K38" s="51"/>
      <c r="L38" s="52"/>
      <c r="M38" s="57" t="str">
        <f>IF(ABS(M29-M33-M36)&lt;0.0001,"OK","Error")</f>
        <v>OK</v>
      </c>
      <c r="N38" s="57" t="str">
        <f t="shared" ref="N38:R38" si="20">IF(ABS(N29-N33-N36)&lt;0.0001,"OK","Error")</f>
        <v>OK</v>
      </c>
      <c r="O38" s="57" t="str">
        <f t="shared" si="20"/>
        <v>OK</v>
      </c>
      <c r="P38" s="57" t="str">
        <f t="shared" si="20"/>
        <v>OK</v>
      </c>
      <c r="Q38" s="57" t="str">
        <f t="shared" si="20"/>
        <v>OK</v>
      </c>
      <c r="R38" s="57" t="str">
        <f t="shared" si="20"/>
        <v>OK</v>
      </c>
    </row>
    <row r="39" spans="2:18" s="58" customFormat="1" ht="15" customHeight="1">
      <c r="B39" s="44"/>
      <c r="C39" s="50"/>
      <c r="D39" s="50"/>
      <c r="E39" s="50"/>
      <c r="F39" s="51"/>
      <c r="G39" s="51"/>
      <c r="H39" s="51"/>
      <c r="I39" s="51"/>
      <c r="J39" s="51"/>
      <c r="K39" s="51"/>
      <c r="L39" s="52"/>
      <c r="M39" s="55"/>
      <c r="N39" s="55"/>
      <c r="O39" s="55"/>
      <c r="P39" s="55"/>
      <c r="Q39" s="55"/>
      <c r="R39" s="55"/>
    </row>
    <row r="40" spans="2:18" s="58" customFormat="1" ht="15" customHeight="1">
      <c r="B40" s="44" t="s">
        <v>112</v>
      </c>
      <c r="C40" s="45" t="s">
        <v>97</v>
      </c>
      <c r="D40" s="46" t="s">
        <v>113</v>
      </c>
      <c r="E40" s="45" t="s">
        <v>97</v>
      </c>
      <c r="F40" s="47">
        <f>F26</f>
        <v>512528</v>
      </c>
      <c r="G40" s="47">
        <f t="shared" ref="G40:K40" si="21">G26</f>
        <v>540877</v>
      </c>
      <c r="H40" s="47">
        <f t="shared" si="21"/>
        <v>504569</v>
      </c>
      <c r="I40" s="47">
        <f t="shared" si="21"/>
        <v>522219</v>
      </c>
      <c r="J40" s="47">
        <f t="shared" si="21"/>
        <v>531151</v>
      </c>
      <c r="K40" s="47">
        <f t="shared" si="21"/>
        <v>577389</v>
      </c>
      <c r="L40" s="48" t="s">
        <v>97</v>
      </c>
      <c r="M40" s="49">
        <f t="shared" ref="M40:R40" si="22">IF(F41=0,,F40/F41)</f>
        <v>0.14813847083204473</v>
      </c>
      <c r="N40" s="49">
        <f t="shared" si="22"/>
        <v>0.12664257178941926</v>
      </c>
      <c r="O40" s="49">
        <f t="shared" si="22"/>
        <v>9.9027251634560318E-2</v>
      </c>
      <c r="P40" s="49">
        <f t="shared" si="22"/>
        <v>8.7471730172092949E-2</v>
      </c>
      <c r="Q40" s="49">
        <f t="shared" si="22"/>
        <v>7.9553304133139463E-2</v>
      </c>
      <c r="R40" s="49">
        <f t="shared" si="22"/>
        <v>8.0801531759777251E-2</v>
      </c>
    </row>
    <row r="41" spans="2:18" s="58" customFormat="1" ht="15" customHeight="1">
      <c r="B41" s="44"/>
      <c r="C41" s="50"/>
      <c r="D41" s="50" t="str">
        <f>+D37</f>
        <v>Revenue</v>
      </c>
      <c r="E41" s="50"/>
      <c r="F41" s="51">
        <f>F37</f>
        <v>3459790</v>
      </c>
      <c r="G41" s="51">
        <f t="shared" ref="G41:K41" si="23">G37</f>
        <v>4270894</v>
      </c>
      <c r="H41" s="51">
        <f t="shared" si="23"/>
        <v>5095254</v>
      </c>
      <c r="I41" s="51">
        <f t="shared" si="23"/>
        <v>5970146</v>
      </c>
      <c r="J41" s="51">
        <f t="shared" si="23"/>
        <v>6676668</v>
      </c>
      <c r="K41" s="51">
        <f t="shared" si="23"/>
        <v>7145768</v>
      </c>
      <c r="L41" s="52"/>
      <c r="M41" s="53"/>
      <c r="N41" s="53"/>
      <c r="O41" s="53"/>
      <c r="P41" s="53"/>
      <c r="Q41" s="53"/>
      <c r="R41" s="53"/>
    </row>
    <row r="42" spans="2:18" s="58" customFormat="1" ht="15" customHeight="1">
      <c r="B42" s="44"/>
      <c r="C42" s="50"/>
      <c r="D42" s="50"/>
      <c r="E42" s="50"/>
      <c r="F42" s="51"/>
      <c r="G42" s="51"/>
      <c r="H42" s="51"/>
      <c r="I42" s="51"/>
      <c r="J42" s="51"/>
      <c r="K42" s="51"/>
      <c r="L42" s="52"/>
      <c r="M42" s="53"/>
      <c r="N42" s="53"/>
      <c r="O42" s="53"/>
      <c r="P42" s="53"/>
      <c r="Q42" s="53"/>
      <c r="R42" s="53"/>
    </row>
    <row r="43" spans="2:18" s="58" customFormat="1" ht="15" customHeight="1">
      <c r="B43" s="44"/>
      <c r="C43" s="50"/>
      <c r="D43" s="50"/>
      <c r="E43" s="50"/>
      <c r="F43" s="51"/>
      <c r="G43" s="51"/>
      <c r="H43" s="51"/>
      <c r="I43" s="51"/>
      <c r="J43" s="51"/>
      <c r="K43" s="51"/>
      <c r="L43" s="52"/>
      <c r="M43" s="53"/>
      <c r="N43" s="53"/>
      <c r="O43" s="53"/>
      <c r="P43" s="53"/>
      <c r="Q43" s="53"/>
      <c r="R43" s="53"/>
    </row>
    <row r="44" spans="2:18" s="58" customFormat="1" ht="15" customHeight="1">
      <c r="B44" s="44" t="s">
        <v>114</v>
      </c>
      <c r="C44" s="45" t="s">
        <v>97</v>
      </c>
      <c r="D44" s="46" t="s">
        <v>115</v>
      </c>
      <c r="E44" s="45" t="s">
        <v>97</v>
      </c>
      <c r="F44" s="47">
        <f>'Financial Statements'!F28</f>
        <v>667035</v>
      </c>
      <c r="G44" s="47">
        <f>'Financial Statements'!G28</f>
        <v>1042231</v>
      </c>
      <c r="H44" s="47">
        <f>'Financial Statements'!H28</f>
        <v>1177766</v>
      </c>
      <c r="I44" s="47">
        <f>'Financial Statements'!I28</f>
        <v>1602354</v>
      </c>
      <c r="J44" s="47">
        <f>'Financial Statements'!J28</f>
        <v>1888956</v>
      </c>
      <c r="K44" s="47">
        <f>'Financial Statements'!K28</f>
        <v>2063634</v>
      </c>
      <c r="L44" s="48" t="s">
        <v>97</v>
      </c>
      <c r="M44" s="49">
        <f t="shared" ref="M44:R44" si="24">IF(F45=0,,F44/F45)</f>
        <v>0.19279638359553614</v>
      </c>
      <c r="N44" s="49">
        <f t="shared" si="24"/>
        <v>0.24403110917761012</v>
      </c>
      <c r="O44" s="49">
        <f t="shared" si="24"/>
        <v>0.23114961491615532</v>
      </c>
      <c r="P44" s="49">
        <f t="shared" si="24"/>
        <v>0.26839444127497047</v>
      </c>
      <c r="Q44" s="49">
        <f t="shared" si="24"/>
        <v>0.28291896496875385</v>
      </c>
      <c r="R44" s="49">
        <f t="shared" si="24"/>
        <v>0.28879107186239461</v>
      </c>
    </row>
    <row r="45" spans="2:18" s="58" customFormat="1" ht="15" customHeight="1">
      <c r="B45" s="44"/>
      <c r="C45" s="50"/>
      <c r="D45" s="50" t="str">
        <f>+D52</f>
        <v>Revenue</v>
      </c>
      <c r="E45" s="50"/>
      <c r="F45" s="51">
        <f>F41</f>
        <v>3459790</v>
      </c>
      <c r="G45" s="51">
        <f t="shared" ref="G45:K45" si="25">G41</f>
        <v>4270894</v>
      </c>
      <c r="H45" s="51">
        <f t="shared" si="25"/>
        <v>5095254</v>
      </c>
      <c r="I45" s="51">
        <f t="shared" si="25"/>
        <v>5970146</v>
      </c>
      <c r="J45" s="51">
        <f t="shared" si="25"/>
        <v>6676668</v>
      </c>
      <c r="K45" s="51">
        <f t="shared" si="25"/>
        <v>7145768</v>
      </c>
      <c r="L45" s="52"/>
      <c r="M45" s="55"/>
      <c r="N45" s="55"/>
      <c r="O45" s="55"/>
      <c r="P45" s="55"/>
      <c r="Q45" s="55"/>
      <c r="R45" s="55"/>
    </row>
    <row r="46" spans="2:18" s="58" customFormat="1" ht="15" customHeight="1">
      <c r="B46" s="44" t="s">
        <v>109</v>
      </c>
      <c r="C46" s="50"/>
      <c r="D46" s="50"/>
      <c r="E46" s="50"/>
      <c r="F46" s="51"/>
      <c r="G46" s="51"/>
      <c r="H46" s="51"/>
      <c r="I46" s="51"/>
      <c r="J46" s="51"/>
      <c r="K46" s="51"/>
      <c r="L46" s="52"/>
      <c r="M46" s="57" t="str">
        <f>IF(ABS(M36-M40-M44)&lt;0.0001,"OK","Error")</f>
        <v>Error</v>
      </c>
      <c r="N46" s="57" t="str">
        <f t="shared" ref="N46:R46" si="26">IF(ABS(N36-N40-N44)&lt;0.0001,"OK","Error")</f>
        <v>Error</v>
      </c>
      <c r="O46" s="57" t="str">
        <f t="shared" si="26"/>
        <v>Error</v>
      </c>
      <c r="P46" s="57" t="str">
        <f t="shared" si="26"/>
        <v>Error</v>
      </c>
      <c r="Q46" s="57" t="str">
        <f t="shared" si="26"/>
        <v>Error</v>
      </c>
      <c r="R46" s="57" t="str">
        <f t="shared" si="26"/>
        <v>Error</v>
      </c>
    </row>
    <row r="47" spans="2:18" s="58" customFormat="1" ht="15" customHeight="1">
      <c r="M47" s="56"/>
      <c r="N47" s="56"/>
      <c r="O47" s="56"/>
      <c r="P47" s="56"/>
      <c r="Q47" s="56"/>
      <c r="R47" s="56"/>
    </row>
    <row r="48" spans="2:18" s="58" customFormat="1" ht="15" customHeight="1">
      <c r="B48" s="44" t="s">
        <v>116</v>
      </c>
      <c r="C48" s="45" t="s">
        <v>97</v>
      </c>
      <c r="D48" s="46" t="s">
        <v>117</v>
      </c>
      <c r="E48" s="45" t="s">
        <v>97</v>
      </c>
      <c r="F48" s="47">
        <f>-'Financial Statements'!F31</f>
        <v>58155</v>
      </c>
      <c r="G48" s="47">
        <f>-'Financial Statements'!G31</f>
        <v>209095</v>
      </c>
      <c r="H48" s="47">
        <f>-'Financial Statements'!H31</f>
        <v>238472</v>
      </c>
      <c r="I48" s="47">
        <f>-'Financial Statements'!I31</f>
        <v>344897</v>
      </c>
      <c r="J48" s="47">
        <f>-'Financial Statements'!J31</f>
        <v>363043</v>
      </c>
      <c r="K48" s="47">
        <f>-'Financial Statements'!K31</f>
        <v>464119</v>
      </c>
      <c r="L48" s="48" t="s">
        <v>97</v>
      </c>
      <c r="M48" s="49">
        <f t="shared" ref="M48:R48" si="27">IF(F49=0,,F48/F49)</f>
        <v>1.6808823656927156E-2</v>
      </c>
      <c r="N48" s="49">
        <f t="shared" si="27"/>
        <v>4.8958133823972218E-2</v>
      </c>
      <c r="O48" s="49">
        <f t="shared" si="27"/>
        <v>4.6802769793223259E-2</v>
      </c>
      <c r="P48" s="49">
        <f t="shared" si="27"/>
        <v>5.7770278984802047E-2</v>
      </c>
      <c r="Q48" s="49">
        <f t="shared" si="27"/>
        <v>5.4374876809809923E-2</v>
      </c>
      <c r="R48" s="49">
        <f t="shared" si="27"/>
        <v>6.4950191497960746E-2</v>
      </c>
    </row>
    <row r="49" spans="2:18" s="58" customFormat="1" ht="15" customHeight="1">
      <c r="B49" s="44"/>
      <c r="C49" s="50"/>
      <c r="D49" s="50" t="str">
        <f>+D21</f>
        <v>Revenue</v>
      </c>
      <c r="E49" s="50"/>
      <c r="F49" s="51">
        <f>F45</f>
        <v>3459790</v>
      </c>
      <c r="G49" s="51">
        <f t="shared" ref="G49:K49" si="28">G45</f>
        <v>4270894</v>
      </c>
      <c r="H49" s="51">
        <f t="shared" si="28"/>
        <v>5095254</v>
      </c>
      <c r="I49" s="51">
        <f t="shared" si="28"/>
        <v>5970146</v>
      </c>
      <c r="J49" s="51">
        <f t="shared" si="28"/>
        <v>6676668</v>
      </c>
      <c r="K49" s="51">
        <f t="shared" si="28"/>
        <v>7145768</v>
      </c>
      <c r="L49" s="51"/>
      <c r="M49" s="53"/>
      <c r="N49" s="53"/>
      <c r="O49" s="53"/>
      <c r="P49" s="53"/>
      <c r="Q49" s="53"/>
      <c r="R49" s="53"/>
    </row>
    <row r="50" spans="2:18" s="58" customFormat="1" ht="15" customHeight="1">
      <c r="M50" s="54"/>
      <c r="N50" s="54"/>
      <c r="O50" s="54"/>
      <c r="P50" s="54"/>
      <c r="Q50" s="54"/>
      <c r="R50" s="54"/>
    </row>
    <row r="51" spans="2:18" s="58" customFormat="1" ht="15" customHeight="1">
      <c r="B51" s="44" t="s">
        <v>118</v>
      </c>
      <c r="C51" s="45" t="s">
        <v>97</v>
      </c>
      <c r="D51" s="46" t="str">
        <f>D11</f>
        <v>Net Income</v>
      </c>
      <c r="E51" s="45" t="s">
        <v>97</v>
      </c>
      <c r="F51" s="47">
        <f>F11</f>
        <v>608880</v>
      </c>
      <c r="G51" s="47">
        <f t="shared" ref="G51:K51" si="29">G11</f>
        <v>833136</v>
      </c>
      <c r="H51" s="47">
        <f t="shared" si="29"/>
        <v>939294</v>
      </c>
      <c r="I51" s="47">
        <f t="shared" si="29"/>
        <v>1257457</v>
      </c>
      <c r="J51" s="47">
        <f t="shared" si="29"/>
        <v>1525913</v>
      </c>
      <c r="K51" s="47">
        <f t="shared" si="29"/>
        <v>1599515</v>
      </c>
      <c r="L51" s="48" t="s">
        <v>97</v>
      </c>
      <c r="M51" s="49">
        <f t="shared" ref="M51:R51" si="30">IF(F52=0,,F51/F52)</f>
        <v>0.17598755993860898</v>
      </c>
      <c r="N51" s="49">
        <f t="shared" si="30"/>
        <v>0.19507297535363791</v>
      </c>
      <c r="O51" s="49">
        <f t="shared" si="30"/>
        <v>0.18434684512293203</v>
      </c>
      <c r="P51" s="49">
        <f t="shared" si="30"/>
        <v>0.21062416229016845</v>
      </c>
      <c r="Q51" s="49">
        <f t="shared" si="30"/>
        <v>0.22854408815894395</v>
      </c>
      <c r="R51" s="49">
        <f t="shared" si="30"/>
        <v>0.22384088036443389</v>
      </c>
    </row>
    <row r="52" spans="2:18" s="58" customFormat="1" ht="15" customHeight="1">
      <c r="B52" s="44"/>
      <c r="C52" s="50"/>
      <c r="D52" s="50" t="s">
        <v>119</v>
      </c>
      <c r="E52" s="50"/>
      <c r="F52" s="51">
        <f>F49</f>
        <v>3459790</v>
      </c>
      <c r="G52" s="51">
        <f t="shared" ref="G52:K52" si="31">G49</f>
        <v>4270894</v>
      </c>
      <c r="H52" s="51">
        <f t="shared" si="31"/>
        <v>5095254</v>
      </c>
      <c r="I52" s="51">
        <f t="shared" si="31"/>
        <v>5970146</v>
      </c>
      <c r="J52" s="51">
        <f t="shared" si="31"/>
        <v>6676668</v>
      </c>
      <c r="K52" s="51">
        <f t="shared" si="31"/>
        <v>7145768</v>
      </c>
      <c r="L52" s="52"/>
      <c r="M52" s="55"/>
      <c r="N52" s="55"/>
      <c r="O52" s="55"/>
      <c r="P52" s="55"/>
      <c r="Q52" s="55"/>
      <c r="R52" s="55"/>
    </row>
    <row r="53" spans="2:18" customFormat="1" ht="15" customHeight="1">
      <c r="B53" s="44" t="s">
        <v>109</v>
      </c>
      <c r="C53" s="50"/>
      <c r="D53" s="50"/>
      <c r="E53" s="50"/>
      <c r="F53" s="51"/>
      <c r="G53" s="51"/>
      <c r="H53" s="51"/>
      <c r="I53" s="51"/>
      <c r="J53" s="51"/>
      <c r="K53" s="51"/>
      <c r="L53" s="52"/>
      <c r="M53" s="57" t="str">
        <f>IF(ABS(M44-M48-M51)&lt;0.0001,"OK","Error")</f>
        <v>OK</v>
      </c>
      <c r="N53" s="57" t="str">
        <f t="shared" ref="N53:R53" si="32">IF(ABS(N44-N48-N51)&lt;0.0001,"OK","Error")</f>
        <v>OK</v>
      </c>
      <c r="O53" s="57" t="str">
        <f t="shared" si="32"/>
        <v>OK</v>
      </c>
      <c r="P53" s="57" t="str">
        <f t="shared" si="32"/>
        <v>OK</v>
      </c>
      <c r="Q53" s="57" t="str">
        <f t="shared" si="32"/>
        <v>OK</v>
      </c>
      <c r="R53" s="57" t="str">
        <f t="shared" si="32"/>
        <v>OK</v>
      </c>
    </row>
    <row r="54" spans="2:18" customFormat="1" ht="15" customHeight="1">
      <c r="B54" s="44"/>
      <c r="C54" s="50"/>
      <c r="D54" s="50"/>
      <c r="E54" s="50"/>
      <c r="F54" s="51"/>
      <c r="G54" s="51"/>
      <c r="H54" s="51"/>
      <c r="I54" s="51"/>
      <c r="J54" s="51"/>
      <c r="K54" s="51"/>
      <c r="L54" s="52"/>
      <c r="M54" s="59"/>
      <c r="N54" s="59"/>
      <c r="O54" s="59"/>
      <c r="P54" s="59"/>
      <c r="Q54" s="59"/>
      <c r="R54" s="59"/>
    </row>
    <row r="55" spans="2:18" customFormat="1" ht="15" customHeight="1">
      <c r="B55" s="60" t="s">
        <v>81</v>
      </c>
      <c r="C55" s="45" t="s">
        <v>97</v>
      </c>
      <c r="D55" s="46" t="s">
        <v>117</v>
      </c>
      <c r="E55" s="45" t="s">
        <v>97</v>
      </c>
      <c r="F55" s="47">
        <f>F48</f>
        <v>58155</v>
      </c>
      <c r="G55" s="47">
        <f t="shared" ref="G55:K55" si="33">G48</f>
        <v>209095</v>
      </c>
      <c r="H55" s="47">
        <f t="shared" si="33"/>
        <v>238472</v>
      </c>
      <c r="I55" s="47">
        <f t="shared" si="33"/>
        <v>344897</v>
      </c>
      <c r="J55" s="47">
        <f t="shared" si="33"/>
        <v>363043</v>
      </c>
      <c r="K55" s="47">
        <f t="shared" si="33"/>
        <v>464119</v>
      </c>
      <c r="L55" s="48" t="s">
        <v>97</v>
      </c>
      <c r="M55" s="49">
        <f t="shared" ref="M55:R55" si="34">IF(F56=0,,F55/F56)</f>
        <v>8.7184330657311834E-2</v>
      </c>
      <c r="N55" s="49">
        <f t="shared" si="34"/>
        <v>0.20062251074857684</v>
      </c>
      <c r="O55" s="49">
        <f t="shared" si="34"/>
        <v>0.20247825119760632</v>
      </c>
      <c r="P55" s="49">
        <f t="shared" si="34"/>
        <v>0.21524394734247237</v>
      </c>
      <c r="Q55" s="49">
        <f t="shared" si="34"/>
        <v>0.19219240681095801</v>
      </c>
      <c r="R55" s="49">
        <f t="shared" si="34"/>
        <v>0.22490373777520625</v>
      </c>
    </row>
    <row r="56" spans="2:18" customFormat="1" ht="15" customHeight="1">
      <c r="B56" s="44"/>
      <c r="C56" s="50"/>
      <c r="D56" s="50" t="str">
        <f>+D44</f>
        <v>Earning Before Tax</v>
      </c>
      <c r="E56" s="50"/>
      <c r="F56" s="51">
        <f>F44</f>
        <v>667035</v>
      </c>
      <c r="G56" s="51">
        <f t="shared" ref="G56:K56" si="35">G44</f>
        <v>1042231</v>
      </c>
      <c r="H56" s="51">
        <f t="shared" si="35"/>
        <v>1177766</v>
      </c>
      <c r="I56" s="51">
        <f t="shared" si="35"/>
        <v>1602354</v>
      </c>
      <c r="J56" s="51">
        <f t="shared" si="35"/>
        <v>1888956</v>
      </c>
      <c r="K56" s="51">
        <f t="shared" si="35"/>
        <v>2063634</v>
      </c>
      <c r="L56" s="51"/>
      <c r="M56" s="53"/>
      <c r="N56" s="53"/>
      <c r="O56" s="53"/>
      <c r="P56" s="53"/>
      <c r="Q56" s="53"/>
      <c r="R56" s="53"/>
    </row>
    <row r="57" spans="2:18" customFormat="1" ht="15" customHeight="1">
      <c r="B57" s="44"/>
      <c r="C57" s="50"/>
      <c r="D57" s="50"/>
      <c r="E57" s="50"/>
      <c r="F57" s="51"/>
      <c r="G57" s="51"/>
      <c r="H57" s="51"/>
      <c r="I57" s="51"/>
      <c r="J57" s="51"/>
      <c r="K57" s="51"/>
      <c r="L57" s="52"/>
      <c r="M57" s="49"/>
      <c r="N57" s="49"/>
      <c r="O57" s="49"/>
      <c r="P57" s="49"/>
      <c r="Q57" s="49"/>
      <c r="R57" s="49"/>
    </row>
    <row r="58" spans="2:18" customFormat="1" ht="15" customHeight="1">
      <c r="B58" s="24" t="s">
        <v>120</v>
      </c>
      <c r="C58" s="45" t="s">
        <v>97</v>
      </c>
      <c r="D58" s="46" t="s">
        <v>12</v>
      </c>
      <c r="E58" s="45" t="s">
        <v>97</v>
      </c>
      <c r="F58" s="47">
        <f>F51</f>
        <v>608880</v>
      </c>
      <c r="G58" s="47">
        <f t="shared" ref="G58:K58" si="36">G51</f>
        <v>833136</v>
      </c>
      <c r="H58" s="47">
        <f t="shared" si="36"/>
        <v>939294</v>
      </c>
      <c r="I58" s="47">
        <f t="shared" si="36"/>
        <v>1257457</v>
      </c>
      <c r="J58" s="47">
        <f t="shared" si="36"/>
        <v>1525913</v>
      </c>
      <c r="K58" s="47">
        <f t="shared" si="36"/>
        <v>1599515</v>
      </c>
      <c r="L58" s="48" t="s">
        <v>97</v>
      </c>
      <c r="M58" s="49">
        <f t="shared" ref="M58:R58" si="37">IF(F59=0,,F58/F59)</f>
        <v>0.91281566934268821</v>
      </c>
      <c r="N58" s="49">
        <f t="shared" si="37"/>
        <v>0.79937748925142316</v>
      </c>
      <c r="O58" s="49">
        <f t="shared" si="37"/>
        <v>0.79752174880239368</v>
      </c>
      <c r="P58" s="49">
        <f t="shared" si="37"/>
        <v>0.78475605265752757</v>
      </c>
      <c r="Q58" s="49">
        <f t="shared" si="37"/>
        <v>0.80780759318904194</v>
      </c>
      <c r="R58" s="49">
        <f t="shared" si="37"/>
        <v>0.77509626222479377</v>
      </c>
    </row>
    <row r="59" spans="2:18" customFormat="1" ht="15" customHeight="1">
      <c r="B59" s="61"/>
      <c r="C59" s="50"/>
      <c r="D59" s="50" t="str">
        <f>+D56</f>
        <v>Earning Before Tax</v>
      </c>
      <c r="E59" s="50"/>
      <c r="F59" s="51">
        <f>F56</f>
        <v>667035</v>
      </c>
      <c r="G59" s="51">
        <f t="shared" ref="G59:K59" si="38">G56</f>
        <v>1042231</v>
      </c>
      <c r="H59" s="51">
        <f t="shared" si="38"/>
        <v>1177766</v>
      </c>
      <c r="I59" s="51">
        <f t="shared" si="38"/>
        <v>1602354</v>
      </c>
      <c r="J59" s="51">
        <f t="shared" si="38"/>
        <v>1888956</v>
      </c>
      <c r="K59" s="51">
        <f t="shared" si="38"/>
        <v>2063634</v>
      </c>
      <c r="L59" s="51"/>
      <c r="M59" s="53"/>
      <c r="N59" s="53"/>
      <c r="O59" s="53"/>
      <c r="P59" s="53"/>
      <c r="Q59" s="53"/>
      <c r="R59" s="53"/>
    </row>
    <row r="60" spans="2:18" customFormat="1" ht="15" customHeight="1">
      <c r="B60" s="61"/>
      <c r="C60" s="50"/>
      <c r="D60" s="50"/>
      <c r="E60" s="50"/>
      <c r="F60" s="51"/>
      <c r="G60" s="51"/>
      <c r="H60" s="51"/>
      <c r="I60" s="51"/>
      <c r="J60" s="51"/>
      <c r="K60" s="51"/>
      <c r="L60" s="52"/>
      <c r="M60" s="49"/>
      <c r="N60" s="49"/>
      <c r="O60" s="49"/>
      <c r="P60" s="49"/>
      <c r="Q60" s="49"/>
      <c r="R60" s="49"/>
    </row>
    <row r="61" spans="2:18" customFormat="1" ht="15" customHeight="1">
      <c r="B61" s="60" t="s">
        <v>121</v>
      </c>
      <c r="C61" s="45" t="s">
        <v>97</v>
      </c>
      <c r="D61" s="46" t="s">
        <v>8</v>
      </c>
      <c r="E61" s="45" t="s">
        <v>97</v>
      </c>
      <c r="F61" s="47">
        <f>-'Financial Statements'!F26</f>
        <v>49092</v>
      </c>
      <c r="G61" s="47">
        <f>-'Financial Statements'!G26</f>
        <v>76256</v>
      </c>
      <c r="H61" s="47">
        <f>-'Financial Statements'!H26</f>
        <v>133474</v>
      </c>
      <c r="I61" s="47">
        <f>-'Financial Statements'!I26</f>
        <v>147334</v>
      </c>
      <c r="J61" s="47">
        <f>-'Financial Statements'!J26</f>
        <v>145895</v>
      </c>
      <c r="K61" s="47">
        <f>-'Financial Statements'!K26</f>
        <v>214226</v>
      </c>
      <c r="L61" s="48" t="s">
        <v>97</v>
      </c>
      <c r="M61" s="49">
        <f t="shared" ref="M61:R61" si="39">IF(F62=0,,F61/F62)</f>
        <v>1.8017098847782086E-2</v>
      </c>
      <c r="N61" s="49">
        <f t="shared" si="39"/>
        <v>2.8994555536079505E-2</v>
      </c>
      <c r="O61" s="49">
        <f t="shared" si="39"/>
        <v>4.7469591315675949E-2</v>
      </c>
      <c r="P61" s="49">
        <f t="shared" si="39"/>
        <v>5.9476357447523116E-2</v>
      </c>
      <c r="Q61" s="49">
        <f t="shared" si="39"/>
        <v>4.3526215673077379E-2</v>
      </c>
      <c r="R61" s="49">
        <f t="shared" si="39"/>
        <v>7.4275193986589091E-2</v>
      </c>
    </row>
    <row r="62" spans="2:18" customFormat="1" ht="15" customHeight="1">
      <c r="B62" s="44"/>
      <c r="C62" s="50"/>
      <c r="D62" s="50" t="s">
        <v>86</v>
      </c>
      <c r="E62" s="50"/>
      <c r="F62" s="51">
        <f>'Financial Statements'!F141</f>
        <v>2724745</v>
      </c>
      <c r="G62" s="51">
        <f>'Financial Statements'!G141</f>
        <v>2630011</v>
      </c>
      <c r="H62" s="51">
        <f>'Financial Statements'!H141</f>
        <v>2811779</v>
      </c>
      <c r="I62" s="51">
        <f>'Financial Statements'!I141</f>
        <v>2477186</v>
      </c>
      <c r="J62" s="51">
        <f>'Financial Statements'!J141</f>
        <v>3351888</v>
      </c>
      <c r="K62" s="51">
        <f>'Financial Statements'!K141</f>
        <v>2884220</v>
      </c>
      <c r="L62" s="51"/>
      <c r="M62" s="53"/>
      <c r="N62" s="53"/>
      <c r="O62" s="53"/>
      <c r="P62" s="53"/>
      <c r="Q62" s="53"/>
      <c r="R62" s="53"/>
    </row>
    <row r="63" spans="2:18" customFormat="1" ht="15" customHeight="1">
      <c r="B63" s="61"/>
      <c r="C63" s="50"/>
      <c r="D63" s="50"/>
      <c r="E63" s="50"/>
      <c r="F63" s="51"/>
      <c r="G63" s="51"/>
      <c r="H63" s="51"/>
      <c r="I63" s="51"/>
      <c r="J63" s="51"/>
      <c r="K63" s="51"/>
      <c r="L63" s="52"/>
      <c r="M63" s="49"/>
      <c r="N63" s="49"/>
      <c r="O63" s="49"/>
      <c r="P63" s="49"/>
      <c r="Q63" s="49"/>
      <c r="R63" s="49"/>
    </row>
    <row r="64" spans="2:18" customFormat="1" ht="15" customHeight="1">
      <c r="B64" s="24" t="s">
        <v>122</v>
      </c>
      <c r="C64" s="45" t="s">
        <v>97</v>
      </c>
      <c r="D64" s="46" t="str">
        <f>+D59</f>
        <v>Earning Before Tax</v>
      </c>
      <c r="E64" s="45" t="s">
        <v>97</v>
      </c>
      <c r="F64" s="47">
        <f>F59</f>
        <v>667035</v>
      </c>
      <c r="G64" s="47">
        <f t="shared" ref="G64:K64" si="40">G59</f>
        <v>1042231</v>
      </c>
      <c r="H64" s="47">
        <f t="shared" si="40"/>
        <v>1177766</v>
      </c>
      <c r="I64" s="47">
        <f t="shared" si="40"/>
        <v>1602354</v>
      </c>
      <c r="J64" s="47">
        <f t="shared" si="40"/>
        <v>1888956</v>
      </c>
      <c r="K64" s="47">
        <f t="shared" si="40"/>
        <v>2063634</v>
      </c>
      <c r="L64" s="48" t="s">
        <v>97</v>
      </c>
      <c r="M64" s="49">
        <f t="shared" ref="M64:R64" si="41">IF(F65=0,,F64/F65)</f>
        <v>0.9314479135684034</v>
      </c>
      <c r="N64" s="49">
        <f t="shared" si="41"/>
        <v>0.96907729328453684</v>
      </c>
      <c r="O64" s="49">
        <f t="shared" si="41"/>
        <v>0.95957574740382379</v>
      </c>
      <c r="P64" s="49">
        <f t="shared" si="41"/>
        <v>0.9907164042342842</v>
      </c>
      <c r="Q64" s="49">
        <f t="shared" si="41"/>
        <v>1.0006383257113889</v>
      </c>
      <c r="R64" s="49">
        <f t="shared" si="41"/>
        <v>0.97815771324562795</v>
      </c>
    </row>
    <row r="65" spans="1:18" customFormat="1" ht="15" customHeight="1">
      <c r="B65" s="44"/>
      <c r="C65" s="50"/>
      <c r="D65" s="50" t="str">
        <f>+D36</f>
        <v>EBIT</v>
      </c>
      <c r="E65" s="50"/>
      <c r="F65" s="51">
        <f>F36</f>
        <v>716127</v>
      </c>
      <c r="G65" s="51">
        <f t="shared" ref="G65:K65" si="42">G36</f>
        <v>1075488</v>
      </c>
      <c r="H65" s="51">
        <f t="shared" si="42"/>
        <v>1227382</v>
      </c>
      <c r="I65" s="51">
        <f t="shared" si="42"/>
        <v>1617369</v>
      </c>
      <c r="J65" s="51">
        <f t="shared" si="42"/>
        <v>1887751</v>
      </c>
      <c r="K65" s="51">
        <f t="shared" si="42"/>
        <v>2109715</v>
      </c>
      <c r="L65" s="51"/>
      <c r="M65" s="55"/>
      <c r="N65" s="55"/>
      <c r="O65" s="55"/>
      <c r="P65" s="55"/>
      <c r="Q65" s="55"/>
      <c r="R65" s="55"/>
    </row>
    <row r="66" spans="1:18" customFormat="1" ht="15" customHeight="1"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3"/>
      <c r="N66" s="63"/>
      <c r="O66" s="63"/>
      <c r="P66" s="63"/>
      <c r="Q66" s="63"/>
      <c r="R66" s="63"/>
    </row>
    <row r="67" spans="1:18" customFormat="1" ht="15" customHeight="1">
      <c r="M67" s="64"/>
      <c r="N67" s="64"/>
      <c r="O67" s="64"/>
      <c r="P67" s="64"/>
      <c r="Q67" s="64"/>
      <c r="R67" s="64"/>
    </row>
    <row r="68" spans="1:18" customFormat="1" ht="15" customHeight="1" thickBot="1">
      <c r="A68" t="s">
        <v>64</v>
      </c>
      <c r="B68" s="93" t="s">
        <v>123</v>
      </c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</row>
    <row r="69" spans="1:18" customFormat="1" ht="15" customHeight="1" thickTop="1">
      <c r="B69" s="30"/>
      <c r="C69" s="31"/>
      <c r="D69" s="32"/>
      <c r="E69" s="32"/>
      <c r="F69" s="33"/>
      <c r="G69" s="33"/>
      <c r="H69" s="33"/>
      <c r="I69" s="34"/>
      <c r="J69" s="34"/>
      <c r="K69" s="34"/>
      <c r="L69" s="35"/>
      <c r="M69" s="36"/>
      <c r="N69" s="37"/>
      <c r="O69" s="36"/>
      <c r="P69" s="36"/>
      <c r="Q69" s="36"/>
      <c r="R69" s="36"/>
    </row>
    <row r="70" spans="1:18" customFormat="1" ht="15" customHeight="1" thickBot="1">
      <c r="B70" s="5" t="s">
        <v>16</v>
      </c>
      <c r="C70" s="31"/>
      <c r="D70" s="39"/>
      <c r="E70" s="39"/>
      <c r="F70" s="40">
        <f>+$F$5</f>
        <v>2020</v>
      </c>
      <c r="G70" s="40">
        <f>+$G$5</f>
        <v>2021</v>
      </c>
      <c r="H70" s="40">
        <f>+$H$5</f>
        <v>2022</v>
      </c>
      <c r="I70" s="40">
        <f>+$I$5</f>
        <v>2023</v>
      </c>
      <c r="J70" s="40">
        <f>+$J$5</f>
        <v>2024</v>
      </c>
      <c r="K70" s="40">
        <f>+$K$5</f>
        <v>2025</v>
      </c>
      <c r="L70" s="35"/>
      <c r="M70" s="40">
        <f t="shared" ref="M70:R70" si="43">+F70</f>
        <v>2020</v>
      </c>
      <c r="N70" s="40">
        <f t="shared" si="43"/>
        <v>2021</v>
      </c>
      <c r="O70" s="40">
        <f t="shared" si="43"/>
        <v>2022</v>
      </c>
      <c r="P70" s="40">
        <f t="shared" si="43"/>
        <v>2023</v>
      </c>
      <c r="Q70" s="40">
        <f t="shared" si="43"/>
        <v>2024</v>
      </c>
      <c r="R70" s="40">
        <f t="shared" si="43"/>
        <v>2025</v>
      </c>
    </row>
    <row r="71" spans="1:18" customFormat="1" ht="15" customHeight="1">
      <c r="B71" s="38"/>
      <c r="C71" s="31"/>
      <c r="D71" s="39"/>
      <c r="E71" s="39"/>
      <c r="F71" s="39"/>
      <c r="G71" s="39"/>
      <c r="H71" s="39"/>
      <c r="I71" s="41"/>
      <c r="J71" s="41"/>
      <c r="K71" s="41"/>
      <c r="L71" s="42"/>
      <c r="M71" s="43"/>
      <c r="N71" s="37"/>
      <c r="O71" s="43"/>
      <c r="P71" s="43"/>
      <c r="Q71" s="43"/>
      <c r="R71" s="43"/>
    </row>
    <row r="72" spans="1:18" customFormat="1" ht="15" customHeight="1">
      <c r="B72" s="38"/>
      <c r="C72" s="31"/>
      <c r="D72" s="39"/>
      <c r="E72" s="39"/>
      <c r="F72" s="39"/>
      <c r="G72" s="39"/>
      <c r="H72" s="39"/>
      <c r="I72" s="35"/>
      <c r="J72" s="35"/>
      <c r="K72" s="35"/>
      <c r="L72" s="35"/>
      <c r="M72" s="36"/>
      <c r="N72" s="36"/>
      <c r="O72" s="36"/>
      <c r="P72" s="36"/>
      <c r="Q72" s="36"/>
      <c r="R72" s="36"/>
    </row>
    <row r="73" spans="1:18" customFormat="1" ht="15" customHeight="1">
      <c r="B73" s="44" t="s">
        <v>124</v>
      </c>
      <c r="C73" s="45" t="s">
        <v>97</v>
      </c>
      <c r="D73" s="46" t="str">
        <f>+D21</f>
        <v>Revenue</v>
      </c>
      <c r="E73" s="45" t="s">
        <v>97</v>
      </c>
      <c r="F73" s="65">
        <f>F41</f>
        <v>3459790</v>
      </c>
      <c r="G73" s="65">
        <f t="shared" ref="G73:K73" si="44">G41</f>
        <v>4270894</v>
      </c>
      <c r="H73" s="65">
        <f t="shared" si="44"/>
        <v>5095254</v>
      </c>
      <c r="I73" s="65">
        <f t="shared" si="44"/>
        <v>5970146</v>
      </c>
      <c r="J73" s="65">
        <f t="shared" si="44"/>
        <v>6676668</v>
      </c>
      <c r="K73" s="65">
        <f t="shared" si="44"/>
        <v>7145768</v>
      </c>
      <c r="L73" s="48" t="s">
        <v>97</v>
      </c>
      <c r="M73" s="66">
        <f t="shared" ref="M73:R73" si="45">IF(F74=0,,F73/F74)</f>
        <v>0.55250144241970711</v>
      </c>
      <c r="N73" s="66">
        <f t="shared" si="45"/>
        <v>0.62226136645926533</v>
      </c>
      <c r="O73" s="66">
        <f t="shared" si="45"/>
        <v>0.6561125588363268</v>
      </c>
      <c r="P73" s="66">
        <f t="shared" si="45"/>
        <v>0.74151219080815645</v>
      </c>
      <c r="Q73" s="66">
        <f t="shared" si="45"/>
        <v>0.70301835941029023</v>
      </c>
      <c r="R73" s="66">
        <f t="shared" si="45"/>
        <v>0.74215899044820965</v>
      </c>
    </row>
    <row r="74" spans="1:18" customFormat="1" ht="15" customHeight="1">
      <c r="B74" s="44"/>
      <c r="C74" s="50"/>
      <c r="D74" s="50" t="str">
        <f>+D12</f>
        <v>Total Assets</v>
      </c>
      <c r="E74" s="50"/>
      <c r="F74" s="51">
        <f>F12</f>
        <v>6262047</v>
      </c>
      <c r="G74" s="51">
        <f t="shared" ref="G74:K74" si="46">G12</f>
        <v>6863505</v>
      </c>
      <c r="H74" s="51">
        <f t="shared" si="46"/>
        <v>7765823</v>
      </c>
      <c r="I74" s="51">
        <f t="shared" si="46"/>
        <v>8051312</v>
      </c>
      <c r="J74" s="51">
        <f t="shared" si="46"/>
        <v>9497146</v>
      </c>
      <c r="K74" s="51">
        <f t="shared" si="46"/>
        <v>9628352</v>
      </c>
      <c r="L74" s="52"/>
      <c r="M74" s="67"/>
      <c r="N74" s="67"/>
      <c r="O74" s="67"/>
      <c r="P74" s="67"/>
      <c r="Q74" s="67"/>
      <c r="R74" s="67"/>
    </row>
    <row r="75" spans="1:18" customFormat="1" ht="15" customHeight="1">
      <c r="B75" s="44"/>
      <c r="C75" s="50"/>
      <c r="D75" s="50"/>
      <c r="E75" s="50"/>
      <c r="F75" s="51"/>
      <c r="G75" s="51"/>
      <c r="H75" s="51"/>
      <c r="I75" s="51"/>
      <c r="J75" s="51"/>
      <c r="K75" s="51"/>
      <c r="L75" s="52"/>
      <c r="M75" s="67"/>
      <c r="N75" s="67"/>
      <c r="O75" s="67"/>
      <c r="P75" s="67"/>
      <c r="Q75" s="67"/>
      <c r="R75" s="67"/>
    </row>
    <row r="76" spans="1:18" customFormat="1" ht="15" customHeight="1">
      <c r="B76" s="44" t="s">
        <v>125</v>
      </c>
      <c r="C76" s="45" t="s">
        <v>97</v>
      </c>
      <c r="D76" s="46" t="str">
        <f>+D73</f>
        <v>Revenue</v>
      </c>
      <c r="E76" s="45" t="s">
        <v>97</v>
      </c>
      <c r="F76" s="65">
        <f>F73</f>
        <v>3459790</v>
      </c>
      <c r="G76" s="65">
        <f t="shared" ref="G76:K76" si="47">G73</f>
        <v>4270894</v>
      </c>
      <c r="H76" s="65">
        <f t="shared" si="47"/>
        <v>5095254</v>
      </c>
      <c r="I76" s="65">
        <f t="shared" si="47"/>
        <v>5970146</v>
      </c>
      <c r="J76" s="65">
        <f t="shared" si="47"/>
        <v>6676668</v>
      </c>
      <c r="K76" s="65">
        <f t="shared" si="47"/>
        <v>7145768</v>
      </c>
      <c r="L76" s="48" t="s">
        <v>97</v>
      </c>
      <c r="M76" s="66">
        <f t="shared" ref="M76:R76" si="48">IF(F77=0,,F76/F77)</f>
        <v>2.8205652886363453</v>
      </c>
      <c r="N76" s="66">
        <f t="shared" si="48"/>
        <v>3.1562255896361493</v>
      </c>
      <c r="O76" s="66">
        <f t="shared" si="48"/>
        <v>3.4951067514962357</v>
      </c>
      <c r="P76" s="66">
        <f t="shared" si="48"/>
        <v>3.7900876079228034</v>
      </c>
      <c r="Q76" s="66">
        <f t="shared" si="48"/>
        <v>3.6508783978862458</v>
      </c>
      <c r="R76" s="66">
        <f t="shared" si="48"/>
        <v>3.4723743871759973</v>
      </c>
    </row>
    <row r="77" spans="1:18" customFormat="1" ht="15" customHeight="1">
      <c r="B77" s="44"/>
      <c r="C77" s="50"/>
      <c r="D77" s="50" t="s">
        <v>126</v>
      </c>
      <c r="E77" s="50"/>
      <c r="F77" s="51">
        <f>'Financial Statements'!F84</f>
        <v>1226630</v>
      </c>
      <c r="G77" s="51">
        <f>'Financial Statements'!G84</f>
        <v>1353165</v>
      </c>
      <c r="H77" s="51">
        <f>'Financial Statements'!H84</f>
        <v>1457825</v>
      </c>
      <c r="I77" s="51">
        <f>'Financial Statements'!I84</f>
        <v>1575200</v>
      </c>
      <c r="J77" s="51">
        <f>'Financial Statements'!J84</f>
        <v>1828784</v>
      </c>
      <c r="K77" s="51">
        <f>'Financial Statements'!K84</f>
        <v>2057891</v>
      </c>
      <c r="L77" s="52"/>
      <c r="M77" s="67"/>
      <c r="N77" s="67"/>
      <c r="O77" s="67"/>
      <c r="P77" s="67"/>
      <c r="Q77" s="67"/>
      <c r="R77" s="67"/>
    </row>
    <row r="78" spans="1:18" customFormat="1" ht="15" customHeight="1">
      <c r="B78" s="44"/>
      <c r="C78" s="50"/>
      <c r="D78" s="50"/>
      <c r="E78" s="50"/>
      <c r="F78" s="51"/>
      <c r="G78" s="51"/>
      <c r="H78" s="51"/>
      <c r="I78" s="51"/>
      <c r="J78" s="51"/>
      <c r="K78" s="51"/>
      <c r="L78" s="52"/>
      <c r="M78" s="67"/>
      <c r="N78" s="67"/>
      <c r="O78" s="67"/>
      <c r="P78" s="67"/>
      <c r="Q78" s="67"/>
      <c r="R78" s="67"/>
    </row>
    <row r="79" spans="1:18" customFormat="1" ht="15" customHeight="1">
      <c r="B79" s="44" t="s">
        <v>127</v>
      </c>
      <c r="C79" s="45" t="s">
        <v>97</v>
      </c>
      <c r="D79" s="46" t="str">
        <f>D76</f>
        <v>Revenue</v>
      </c>
      <c r="E79" s="45" t="s">
        <v>97</v>
      </c>
      <c r="F79" s="65">
        <f>+F76</f>
        <v>3459790</v>
      </c>
      <c r="G79" s="65">
        <f t="shared" ref="G79:K79" si="49">+G76</f>
        <v>4270894</v>
      </c>
      <c r="H79" s="65">
        <f t="shared" si="49"/>
        <v>5095254</v>
      </c>
      <c r="I79" s="65">
        <f t="shared" si="49"/>
        <v>5970146</v>
      </c>
      <c r="J79" s="65">
        <f t="shared" si="49"/>
        <v>6676668</v>
      </c>
      <c r="K79" s="65">
        <f t="shared" si="49"/>
        <v>7145768</v>
      </c>
      <c r="L79" s="48" t="s">
        <v>97</v>
      </c>
      <c r="M79" s="66">
        <f t="shared" ref="M79:R79" si="50">IF(F80=0,,F79/F80)</f>
        <v>2.5394706130184392</v>
      </c>
      <c r="N79" s="66">
        <f t="shared" si="50"/>
        <v>3.1774033475530188</v>
      </c>
      <c r="O79" s="66">
        <f t="shared" si="50"/>
        <v>3.6685508902362369</v>
      </c>
      <c r="P79" s="66">
        <f t="shared" si="50"/>
        <v>5.3210758470954502</v>
      </c>
      <c r="Q79" s="66">
        <f t="shared" si="50"/>
        <v>3.8322892595283933</v>
      </c>
      <c r="R79" s="66">
        <f t="shared" si="50"/>
        <v>4.8686478468853878</v>
      </c>
    </row>
    <row r="80" spans="1:18" customFormat="1" ht="15" customHeight="1">
      <c r="B80" s="44"/>
      <c r="C80" s="50"/>
      <c r="D80" s="50" t="s">
        <v>87</v>
      </c>
      <c r="E80" s="50"/>
      <c r="F80" s="51">
        <f>'Financial Statements'!F96</f>
        <v>1362406</v>
      </c>
      <c r="G80" s="51">
        <f>'Financial Statements'!G96</f>
        <v>1344146</v>
      </c>
      <c r="H80" s="51">
        <f>'Financial Statements'!H96</f>
        <v>1388901</v>
      </c>
      <c r="I80" s="51">
        <f>'Financial Statements'!I96</f>
        <v>1121981</v>
      </c>
      <c r="J80" s="51">
        <f>'Financial Statements'!J96</f>
        <v>1742214</v>
      </c>
      <c r="K80" s="51">
        <f>'Financial Statements'!K96</f>
        <v>1467711</v>
      </c>
      <c r="L80" s="52"/>
      <c r="M80" s="67"/>
      <c r="N80" s="67"/>
      <c r="O80" s="67"/>
      <c r="P80" s="67"/>
      <c r="Q80" s="67"/>
      <c r="R80" s="67"/>
    </row>
    <row r="81" spans="2:18" customFormat="1" ht="15" customHeight="1">
      <c r="B81" s="44"/>
      <c r="C81" s="50"/>
      <c r="D81" s="50"/>
      <c r="E81" s="50"/>
      <c r="F81" s="51"/>
      <c r="G81" s="51"/>
      <c r="H81" s="51"/>
      <c r="I81" s="51"/>
      <c r="J81" s="51"/>
      <c r="K81" s="51"/>
      <c r="L81" s="52"/>
      <c r="M81" s="67"/>
      <c r="N81" s="67"/>
      <c r="O81" s="67"/>
      <c r="P81" s="67"/>
      <c r="Q81" s="67"/>
      <c r="R81" s="67"/>
    </row>
    <row r="82" spans="2:18" customFormat="1" ht="15" customHeight="1">
      <c r="B82" s="44" t="s">
        <v>128</v>
      </c>
      <c r="C82" s="45" t="s">
        <v>97</v>
      </c>
      <c r="D82" s="46" t="s">
        <v>129</v>
      </c>
      <c r="E82" s="45" t="s">
        <v>97</v>
      </c>
      <c r="F82" s="47">
        <f>F80*365</f>
        <v>497278190</v>
      </c>
      <c r="G82" s="47">
        <f t="shared" ref="G82:K82" si="51">G80*365</f>
        <v>490613290</v>
      </c>
      <c r="H82" s="47">
        <f t="shared" si="51"/>
        <v>506948865</v>
      </c>
      <c r="I82" s="47">
        <f t="shared" si="51"/>
        <v>409523065</v>
      </c>
      <c r="J82" s="47">
        <f t="shared" si="51"/>
        <v>635908110</v>
      </c>
      <c r="K82" s="47">
        <f t="shared" si="51"/>
        <v>535714515</v>
      </c>
      <c r="L82" s="48" t="s">
        <v>97</v>
      </c>
      <c r="M82" s="68">
        <f t="shared" ref="M82:R82" si="52">IF(F83=0,,F82/F83)</f>
        <v>143.73074377346603</v>
      </c>
      <c r="N82" s="69">
        <f t="shared" si="52"/>
        <v>114.8736751602826</v>
      </c>
      <c r="O82" s="69">
        <f t="shared" si="52"/>
        <v>99.494326484999576</v>
      </c>
      <c r="P82" s="69">
        <f t="shared" si="52"/>
        <v>68.595150771857178</v>
      </c>
      <c r="Q82" s="69">
        <f t="shared" si="52"/>
        <v>95.243332452654528</v>
      </c>
      <c r="R82" s="69">
        <f t="shared" si="52"/>
        <v>74.969480537291446</v>
      </c>
    </row>
    <row r="83" spans="2:18" customFormat="1" ht="15" customHeight="1">
      <c r="B83" s="44"/>
      <c r="C83" s="50"/>
      <c r="D83" s="50" t="str">
        <f>+D79</f>
        <v>Revenue</v>
      </c>
      <c r="E83" s="50"/>
      <c r="F83" s="51">
        <f>F79</f>
        <v>3459790</v>
      </c>
      <c r="G83" s="51">
        <f t="shared" ref="G83:K83" si="53">G79</f>
        <v>4270894</v>
      </c>
      <c r="H83" s="51">
        <f t="shared" si="53"/>
        <v>5095254</v>
      </c>
      <c r="I83" s="51">
        <f t="shared" si="53"/>
        <v>5970146</v>
      </c>
      <c r="J83" s="51">
        <f t="shared" si="53"/>
        <v>6676668</v>
      </c>
      <c r="K83" s="51">
        <f t="shared" si="53"/>
        <v>7145768</v>
      </c>
      <c r="L83" s="52"/>
      <c r="M83" s="55"/>
      <c r="N83" s="55"/>
      <c r="O83" s="55"/>
      <c r="P83" s="55"/>
      <c r="Q83" s="55"/>
      <c r="R83" s="55"/>
    </row>
    <row r="84" spans="2:18" customFormat="1" ht="15" customHeight="1">
      <c r="B84" s="44"/>
      <c r="C84" s="50"/>
      <c r="D84" s="50"/>
      <c r="E84" s="50"/>
      <c r="F84" s="51"/>
      <c r="G84" s="51"/>
      <c r="H84" s="51"/>
      <c r="I84" s="51"/>
      <c r="J84" s="51"/>
      <c r="K84" s="51"/>
      <c r="L84" s="52"/>
      <c r="M84" s="67"/>
      <c r="N84" s="67"/>
      <c r="O84" s="67"/>
      <c r="P84" s="67"/>
      <c r="Q84" s="67"/>
      <c r="R84" s="67"/>
    </row>
    <row r="85" spans="2:18" customFormat="1" ht="15" customHeight="1">
      <c r="B85" s="44" t="s">
        <v>130</v>
      </c>
      <c r="C85" s="45" t="s">
        <v>97</v>
      </c>
      <c r="D85" s="46" t="str">
        <f>D79</f>
        <v>Revenue</v>
      </c>
      <c r="E85" s="45" t="s">
        <v>97</v>
      </c>
      <c r="F85" s="65">
        <f>F83</f>
        <v>3459790</v>
      </c>
      <c r="G85" s="65">
        <f t="shared" ref="G85:K85" si="54">G83</f>
        <v>4270894</v>
      </c>
      <c r="H85" s="65">
        <f t="shared" si="54"/>
        <v>5095254</v>
      </c>
      <c r="I85" s="65">
        <f t="shared" si="54"/>
        <v>5970146</v>
      </c>
      <c r="J85" s="65">
        <f t="shared" si="54"/>
        <v>6676668</v>
      </c>
      <c r="K85" s="65">
        <f t="shared" si="54"/>
        <v>7145768</v>
      </c>
      <c r="L85" s="48" t="s">
        <v>97</v>
      </c>
      <c r="M85" s="66">
        <f t="shared" ref="M85:R85" si="55">IF(F86=0,,F85/F86)</f>
        <v>18.77667426462607</v>
      </c>
      <c r="N85" s="66">
        <f t="shared" si="55"/>
        <v>23.085913513513514</v>
      </c>
      <c r="O85" s="66">
        <f t="shared" si="55"/>
        <v>21.923180187079954</v>
      </c>
      <c r="P85" s="66">
        <f t="shared" si="55"/>
        <v>22.840867702196036</v>
      </c>
      <c r="Q85" s="66">
        <f t="shared" si="55"/>
        <v>19.121211079799298</v>
      </c>
      <c r="R85" s="66">
        <f t="shared" si="55"/>
        <v>19.830681663655614</v>
      </c>
    </row>
    <row r="86" spans="2:18" customFormat="1" ht="15" customHeight="1">
      <c r="B86" s="44"/>
      <c r="C86" s="50"/>
      <c r="D86" s="50" t="s">
        <v>131</v>
      </c>
      <c r="E86" s="50"/>
      <c r="F86" s="51">
        <f>'Financial Statements'!F91</f>
        <v>184260</v>
      </c>
      <c r="G86" s="51">
        <f>'Financial Statements'!G91</f>
        <v>185000</v>
      </c>
      <c r="H86" s="51">
        <f>'Financial Statements'!H91</f>
        <v>232414</v>
      </c>
      <c r="I86" s="51">
        <f>'Financial Statements'!I91</f>
        <v>261380</v>
      </c>
      <c r="J86" s="51">
        <f>'Financial Statements'!J91</f>
        <v>349176</v>
      </c>
      <c r="K86" s="51">
        <f>'Financial Statements'!K91</f>
        <v>360339</v>
      </c>
      <c r="L86" s="52"/>
      <c r="M86" s="67"/>
      <c r="N86" s="67"/>
      <c r="O86" s="67"/>
      <c r="P86" s="67"/>
      <c r="Q86" s="67"/>
      <c r="R86" s="67"/>
    </row>
    <row r="87" spans="2:18" customFormat="1" ht="15" customHeight="1">
      <c r="B87" s="44"/>
      <c r="C87" s="50"/>
      <c r="D87" s="50"/>
      <c r="E87" s="50"/>
      <c r="F87" s="51"/>
      <c r="G87" s="51"/>
      <c r="H87" s="51"/>
      <c r="I87" s="51"/>
      <c r="J87" s="51"/>
      <c r="K87" s="51"/>
      <c r="L87" s="52"/>
      <c r="M87" s="67"/>
      <c r="N87" s="67"/>
      <c r="O87" s="67"/>
      <c r="P87" s="67"/>
      <c r="Q87" s="67"/>
      <c r="R87" s="67"/>
    </row>
    <row r="88" spans="2:18" customFormat="1" ht="15" customHeight="1">
      <c r="B88" s="44" t="s">
        <v>132</v>
      </c>
      <c r="C88" s="45" t="s">
        <v>97</v>
      </c>
      <c r="D88" s="46" t="s">
        <v>133</v>
      </c>
      <c r="E88" s="45" t="s">
        <v>97</v>
      </c>
      <c r="F88" s="47">
        <f>F86*365</f>
        <v>67254900</v>
      </c>
      <c r="G88" s="47">
        <f t="shared" ref="G88:K88" si="56">G86*365</f>
        <v>67525000</v>
      </c>
      <c r="H88" s="47">
        <f t="shared" si="56"/>
        <v>84831110</v>
      </c>
      <c r="I88" s="47">
        <f t="shared" si="56"/>
        <v>95403700</v>
      </c>
      <c r="J88" s="47">
        <f t="shared" si="56"/>
        <v>127449240</v>
      </c>
      <c r="K88" s="47">
        <f t="shared" si="56"/>
        <v>131523735</v>
      </c>
      <c r="L88" s="48" t="s">
        <v>97</v>
      </c>
      <c r="M88" s="68">
        <f t="shared" ref="M88:R88" si="57">IF(F89=0,,F88/F89)</f>
        <v>19.439012194381739</v>
      </c>
      <c r="N88" s="70">
        <f t="shared" si="57"/>
        <v>15.810507120991531</v>
      </c>
      <c r="O88" s="70">
        <f t="shared" si="57"/>
        <v>16.649044385225938</v>
      </c>
      <c r="P88" s="70">
        <f t="shared" si="57"/>
        <v>15.980128459170011</v>
      </c>
      <c r="Q88" s="70">
        <f t="shared" si="57"/>
        <v>19.088749058662195</v>
      </c>
      <c r="R88" s="70">
        <f t="shared" si="57"/>
        <v>18.405822159353619</v>
      </c>
    </row>
    <row r="89" spans="2:18" customFormat="1" ht="15" customHeight="1">
      <c r="B89" s="44"/>
      <c r="C89" s="50"/>
      <c r="D89" s="50" t="str">
        <f>+D85</f>
        <v>Revenue</v>
      </c>
      <c r="E89" s="50"/>
      <c r="F89" s="51">
        <f>F85</f>
        <v>3459790</v>
      </c>
      <c r="G89" s="51">
        <f t="shared" ref="G89:K89" si="58">G85</f>
        <v>4270894</v>
      </c>
      <c r="H89" s="51">
        <f t="shared" si="58"/>
        <v>5095254</v>
      </c>
      <c r="I89" s="51">
        <f t="shared" si="58"/>
        <v>5970146</v>
      </c>
      <c r="J89" s="51">
        <f t="shared" si="58"/>
        <v>6676668</v>
      </c>
      <c r="K89" s="51">
        <f t="shared" si="58"/>
        <v>7145768</v>
      </c>
      <c r="L89" s="52"/>
      <c r="M89" s="55"/>
      <c r="N89" s="55"/>
      <c r="O89" s="55"/>
      <c r="P89" s="55"/>
      <c r="Q89" s="55"/>
      <c r="R89" s="55"/>
    </row>
    <row r="90" spans="2:18" customFormat="1" ht="15" customHeight="1">
      <c r="B90" s="44"/>
      <c r="C90" s="50"/>
      <c r="D90" s="50"/>
      <c r="E90" s="50"/>
      <c r="F90" s="51"/>
      <c r="G90" s="51"/>
      <c r="H90" s="51"/>
      <c r="I90" s="51"/>
      <c r="J90" s="51"/>
      <c r="K90" s="51"/>
      <c r="L90" s="52"/>
      <c r="M90" s="67"/>
      <c r="N90" s="67"/>
      <c r="O90" s="67"/>
      <c r="P90" s="67"/>
      <c r="Q90" s="67"/>
      <c r="R90" s="67"/>
    </row>
    <row r="91" spans="2:18" customFormat="1" ht="15" customHeight="1">
      <c r="B91" s="44" t="s">
        <v>134</v>
      </c>
      <c r="C91" s="45" t="s">
        <v>97</v>
      </c>
      <c r="D91" s="46" t="str">
        <f>+D97</f>
        <v>COGS</v>
      </c>
      <c r="E91" s="45" t="s">
        <v>97</v>
      </c>
      <c r="F91" s="47">
        <f>-'Financial Statements'!F9-'Financial Statements'!F10</f>
        <v>1468372</v>
      </c>
      <c r="G91" s="47">
        <f>-'Financial Statements'!G9-'Financial Statements'!G10</f>
        <v>1850516</v>
      </c>
      <c r="H91" s="47">
        <f>-'Financial Statements'!H9-'Financial Statements'!H10</f>
        <v>2389104</v>
      </c>
      <c r="I91" s="47">
        <f>-'Financial Statements'!I9-'Financial Statements'!I10</f>
        <v>2705673</v>
      </c>
      <c r="J91" s="47">
        <f>-'Financial Statements'!J9-'Financial Statements'!J10</f>
        <v>3029845</v>
      </c>
      <c r="K91" s="47">
        <f>-'Financial Statements'!K9-'Financial Statements'!K10</f>
        <v>3154237</v>
      </c>
      <c r="L91" s="48" t="s">
        <v>97</v>
      </c>
      <c r="M91" s="66">
        <f t="shared" ref="M91:R91" si="59">IF(F92=0,,F91/F92)</f>
        <v>3.1878371836037314</v>
      </c>
      <c r="N91" s="66">
        <f t="shared" si="59"/>
        <v>3.4232363686814966</v>
      </c>
      <c r="O91" s="66">
        <f t="shared" si="59"/>
        <v>3.541186549709336</v>
      </c>
      <c r="P91" s="66">
        <f t="shared" si="59"/>
        <v>2.8525388133438199</v>
      </c>
      <c r="Q91" s="66">
        <f t="shared" si="59"/>
        <v>2.7842875443165465</v>
      </c>
      <c r="R91" s="66">
        <f t="shared" si="59"/>
        <v>2.8316955500653558</v>
      </c>
    </row>
    <row r="92" spans="2:18" customFormat="1" ht="15" customHeight="1">
      <c r="B92" s="44"/>
      <c r="C92" s="50"/>
      <c r="D92" s="50" t="s">
        <v>135</v>
      </c>
      <c r="E92" s="50"/>
      <c r="F92" s="51">
        <f>'Financial Statements'!F90</f>
        <v>460617</v>
      </c>
      <c r="G92" s="51">
        <f>'Financial Statements'!G90</f>
        <v>540575</v>
      </c>
      <c r="H92" s="51">
        <f>'Financial Statements'!H90</f>
        <v>674662</v>
      </c>
      <c r="I92" s="51">
        <f>'Financial Statements'!I90</f>
        <v>948514</v>
      </c>
      <c r="J92" s="51">
        <f>'Financial Statements'!J90</f>
        <v>1088194</v>
      </c>
      <c r="K92" s="51">
        <f>'Financial Statements'!K90</f>
        <v>1113904</v>
      </c>
      <c r="L92" s="52"/>
      <c r="M92" s="67"/>
      <c r="N92" s="67"/>
      <c r="O92" s="67"/>
      <c r="P92" s="67"/>
      <c r="Q92" s="67"/>
      <c r="R92" s="67"/>
    </row>
    <row r="93" spans="2:18" customFormat="1" ht="15" customHeight="1"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3"/>
      <c r="N93" s="43"/>
      <c r="O93" s="43"/>
      <c r="P93" s="43"/>
      <c r="Q93" s="43"/>
      <c r="R93" s="43"/>
    </row>
    <row r="94" spans="2:18" customFormat="1" ht="15" customHeight="1">
      <c r="B94" s="44" t="s">
        <v>136</v>
      </c>
      <c r="C94" s="45" t="s">
        <v>97</v>
      </c>
      <c r="D94" s="46" t="s">
        <v>137</v>
      </c>
      <c r="E94" s="45" t="s">
        <v>97</v>
      </c>
      <c r="F94" s="47">
        <f>F92*365</f>
        <v>168125205</v>
      </c>
      <c r="G94" s="47">
        <f t="shared" ref="G94:K94" si="60">G92*365</f>
        <v>197309875</v>
      </c>
      <c r="H94" s="47">
        <f t="shared" si="60"/>
        <v>246251630</v>
      </c>
      <c r="I94" s="47">
        <f t="shared" si="60"/>
        <v>346207610</v>
      </c>
      <c r="J94" s="47">
        <f t="shared" si="60"/>
        <v>397190810</v>
      </c>
      <c r="K94" s="47">
        <f t="shared" si="60"/>
        <v>406574960</v>
      </c>
      <c r="L94" s="48" t="s">
        <v>97</v>
      </c>
      <c r="M94" s="68">
        <f t="shared" ref="M94:R94" si="61">IF(F95=0,,F94/F95)</f>
        <v>114.49769200175433</v>
      </c>
      <c r="N94" s="70">
        <f t="shared" si="61"/>
        <v>106.62424696679197</v>
      </c>
      <c r="O94" s="70">
        <f t="shared" si="61"/>
        <v>103.07279632866548</v>
      </c>
      <c r="P94" s="70">
        <f t="shared" si="61"/>
        <v>127.95619056700495</v>
      </c>
      <c r="Q94" s="70">
        <f t="shared" si="61"/>
        <v>131.09278197399536</v>
      </c>
      <c r="R94" s="70">
        <f t="shared" si="61"/>
        <v>128.89803778219581</v>
      </c>
    </row>
    <row r="95" spans="2:18" customFormat="1" ht="15" customHeight="1">
      <c r="B95" s="44"/>
      <c r="C95" s="50"/>
      <c r="D95" s="50" t="str">
        <f>+D91</f>
        <v>COGS</v>
      </c>
      <c r="E95" s="50"/>
      <c r="F95" s="51">
        <f>F91</f>
        <v>1468372</v>
      </c>
      <c r="G95" s="51">
        <f t="shared" ref="G95:K95" si="62">G91</f>
        <v>1850516</v>
      </c>
      <c r="H95" s="51">
        <f t="shared" si="62"/>
        <v>2389104</v>
      </c>
      <c r="I95" s="51">
        <f t="shared" si="62"/>
        <v>2705673</v>
      </c>
      <c r="J95" s="51">
        <f t="shared" si="62"/>
        <v>3029845</v>
      </c>
      <c r="K95" s="51">
        <f t="shared" si="62"/>
        <v>3154237</v>
      </c>
      <c r="L95" s="52"/>
      <c r="M95" s="67"/>
      <c r="N95" s="67"/>
      <c r="O95" s="67"/>
      <c r="P95" s="67"/>
      <c r="Q95" s="67"/>
      <c r="R95" s="67"/>
    </row>
    <row r="96" spans="2:18" customFormat="1" ht="15" customHeight="1">
      <c r="B96" s="44"/>
      <c r="C96" s="50"/>
      <c r="D96" s="50"/>
      <c r="E96" s="50"/>
      <c r="F96" s="51"/>
      <c r="G96" s="51"/>
      <c r="H96" s="51"/>
      <c r="I96" s="51"/>
      <c r="J96" s="51"/>
      <c r="K96" s="51"/>
      <c r="L96" s="52"/>
      <c r="M96" s="67"/>
      <c r="N96" s="67"/>
      <c r="O96" s="67"/>
      <c r="P96" s="67"/>
      <c r="Q96" s="67"/>
      <c r="R96" s="67"/>
    </row>
    <row r="97" spans="1:18" customFormat="1" ht="15" customHeight="1">
      <c r="B97" s="44" t="s">
        <v>138</v>
      </c>
      <c r="C97" s="45" t="s">
        <v>97</v>
      </c>
      <c r="D97" s="46" t="s">
        <v>139</v>
      </c>
      <c r="E97" s="45" t="s">
        <v>97</v>
      </c>
      <c r="F97" s="47">
        <f>F95</f>
        <v>1468372</v>
      </c>
      <c r="G97" s="47">
        <f t="shared" ref="G97:K97" si="63">G95</f>
        <v>1850516</v>
      </c>
      <c r="H97" s="47">
        <f t="shared" si="63"/>
        <v>2389104</v>
      </c>
      <c r="I97" s="47">
        <f t="shared" si="63"/>
        <v>2705673</v>
      </c>
      <c r="J97" s="47">
        <f t="shared" si="63"/>
        <v>3029845</v>
      </c>
      <c r="K97" s="47">
        <f t="shared" si="63"/>
        <v>3154237</v>
      </c>
      <c r="L97" s="48" t="s">
        <v>97</v>
      </c>
      <c r="M97" s="66">
        <f t="shared" ref="M97:R97" si="64">IF(F98=0,,F97/F98)</f>
        <v>2.057099468063496</v>
      </c>
      <c r="N97" s="66">
        <f t="shared" si="64"/>
        <v>2.3194306570806886</v>
      </c>
      <c r="O97" s="66">
        <f t="shared" si="64"/>
        <v>2.6458346253687837</v>
      </c>
      <c r="P97" s="66">
        <f t="shared" si="64"/>
        <v>2.9075750085969738</v>
      </c>
      <c r="Q97" s="66">
        <f t="shared" si="64"/>
        <v>3.2039576717562497</v>
      </c>
      <c r="R97" s="66">
        <f t="shared" si="64"/>
        <v>3.7494377454663028</v>
      </c>
    </row>
    <row r="98" spans="1:18" customFormat="1" ht="15" customHeight="1">
      <c r="B98" s="44"/>
      <c r="C98" s="50"/>
      <c r="D98" s="50" t="s">
        <v>140</v>
      </c>
      <c r="E98" s="50"/>
      <c r="F98" s="51">
        <f>'Financial Statements'!F117</f>
        <v>713807</v>
      </c>
      <c r="G98" s="51">
        <f>'Financial Statements'!G117</f>
        <v>797832</v>
      </c>
      <c r="H98" s="51">
        <f>'Financial Statements'!H117</f>
        <v>902968</v>
      </c>
      <c r="I98" s="51">
        <f>'Financial Statements'!I117</f>
        <v>930560</v>
      </c>
      <c r="J98" s="51">
        <f>'Financial Statements'!J117</f>
        <v>945657</v>
      </c>
      <c r="K98" s="51">
        <f>'Financial Statements'!K117</f>
        <v>841256</v>
      </c>
      <c r="L98" s="52"/>
      <c r="M98" s="67"/>
      <c r="N98" s="67"/>
      <c r="O98" s="67"/>
      <c r="P98" s="67"/>
      <c r="Q98" s="67"/>
      <c r="R98" s="67"/>
    </row>
    <row r="99" spans="1:18" customFormat="1" ht="15" customHeight="1">
      <c r="B99" s="44"/>
      <c r="C99" s="50"/>
      <c r="D99" s="50"/>
      <c r="E99" s="50"/>
      <c r="F99" s="51"/>
      <c r="G99" s="51"/>
      <c r="H99" s="51"/>
      <c r="I99" s="51"/>
      <c r="J99" s="51"/>
      <c r="K99" s="51"/>
      <c r="L99" s="52"/>
      <c r="M99" s="55"/>
      <c r="N99" s="55"/>
      <c r="O99" s="55"/>
      <c r="P99" s="55"/>
      <c r="Q99" s="55"/>
      <c r="R99" s="55"/>
    </row>
    <row r="100" spans="1:18" customFormat="1" ht="15" customHeight="1">
      <c r="B100" s="44" t="s">
        <v>141</v>
      </c>
      <c r="C100" s="45" t="s">
        <v>97</v>
      </c>
      <c r="D100" s="46" t="s">
        <v>142</v>
      </c>
      <c r="E100" s="45" t="s">
        <v>97</v>
      </c>
      <c r="F100" s="47">
        <f>F98*365</f>
        <v>260539555</v>
      </c>
      <c r="G100" s="47">
        <f t="shared" ref="G100:K100" si="65">G98*365</f>
        <v>291208680</v>
      </c>
      <c r="H100" s="47">
        <f t="shared" si="65"/>
        <v>329583320</v>
      </c>
      <c r="I100" s="47">
        <f t="shared" si="65"/>
        <v>339654400</v>
      </c>
      <c r="J100" s="47">
        <f t="shared" si="65"/>
        <v>345164805</v>
      </c>
      <c r="K100" s="47">
        <f t="shared" si="65"/>
        <v>307058440</v>
      </c>
      <c r="L100" s="48" t="s">
        <v>97</v>
      </c>
      <c r="M100" s="68">
        <f t="shared" ref="M100:R100" si="66">IF(F101=0,,F100/F101)</f>
        <v>177.43429798443447</v>
      </c>
      <c r="N100" s="70">
        <f t="shared" si="66"/>
        <v>157.36620488555624</v>
      </c>
      <c r="O100" s="70">
        <f t="shared" si="66"/>
        <v>137.95268853930176</v>
      </c>
      <c r="P100" s="70">
        <f t="shared" si="66"/>
        <v>125.53416469765563</v>
      </c>
      <c r="Q100" s="70">
        <f t="shared" si="66"/>
        <v>113.92160490058072</v>
      </c>
      <c r="R100" s="70">
        <f t="shared" si="66"/>
        <v>97.347929150536245</v>
      </c>
    </row>
    <row r="101" spans="1:18" customFormat="1" ht="15" customHeight="1">
      <c r="B101" s="44"/>
      <c r="C101" s="50"/>
      <c r="D101" s="50" t="s">
        <v>139</v>
      </c>
      <c r="E101" s="50"/>
      <c r="F101" s="51">
        <f>F97</f>
        <v>1468372</v>
      </c>
      <c r="G101" s="51">
        <f t="shared" ref="G101:K101" si="67">G97</f>
        <v>1850516</v>
      </c>
      <c r="H101" s="51">
        <f t="shared" si="67"/>
        <v>2389104</v>
      </c>
      <c r="I101" s="51">
        <f t="shared" si="67"/>
        <v>2705673</v>
      </c>
      <c r="J101" s="51">
        <f t="shared" si="67"/>
        <v>3029845</v>
      </c>
      <c r="K101" s="51">
        <f t="shared" si="67"/>
        <v>3154237</v>
      </c>
      <c r="L101" s="52"/>
      <c r="M101" s="67"/>
      <c r="N101" s="67"/>
      <c r="O101" s="67"/>
      <c r="P101" s="67"/>
      <c r="Q101" s="67"/>
      <c r="R101" s="67"/>
    </row>
    <row r="102" spans="1:18" customFormat="1" ht="15" customHeight="1">
      <c r="M102" s="64"/>
      <c r="N102" s="64"/>
      <c r="O102" s="64"/>
      <c r="P102" s="64"/>
      <c r="Q102" s="64"/>
      <c r="R102" s="64"/>
    </row>
    <row r="103" spans="1:18" ht="15" customHeight="1">
      <c r="B103" s="71" t="s">
        <v>143</v>
      </c>
      <c r="C103" s="45" t="s">
        <v>97</v>
      </c>
      <c r="D103" s="72" t="s">
        <v>144</v>
      </c>
      <c r="E103" s="71" t="s">
        <v>97</v>
      </c>
      <c r="M103" s="68">
        <f>+M88+M94-M100</f>
        <v>-43.497593788298389</v>
      </c>
      <c r="N103" s="70">
        <f t="shared" ref="N103:R103" si="68">+N88+N94-N100</f>
        <v>-34.93145079777274</v>
      </c>
      <c r="O103" s="70">
        <f t="shared" si="68"/>
        <v>-18.230847825410351</v>
      </c>
      <c r="P103" s="70">
        <f t="shared" si="68"/>
        <v>18.402154328519345</v>
      </c>
      <c r="Q103" s="70">
        <f t="shared" si="68"/>
        <v>36.259926132076828</v>
      </c>
      <c r="R103" s="70">
        <f t="shared" si="68"/>
        <v>49.955930791013188</v>
      </c>
    </row>
    <row r="104" spans="1:18" customFormat="1" ht="15" customHeight="1"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3"/>
      <c r="N104" s="63"/>
      <c r="O104" s="63"/>
      <c r="P104" s="63"/>
      <c r="Q104" s="63"/>
      <c r="R104" s="63"/>
    </row>
    <row r="105" spans="1:18" customFormat="1" ht="15" customHeight="1">
      <c r="M105" s="64"/>
      <c r="N105" s="64"/>
      <c r="O105" s="64"/>
      <c r="P105" s="64"/>
      <c r="Q105" s="64"/>
      <c r="R105" s="64"/>
    </row>
    <row r="106" spans="1:18" customFormat="1" ht="15" customHeight="1" thickBot="1">
      <c r="A106" t="s">
        <v>64</v>
      </c>
      <c r="B106" s="93" t="s">
        <v>145</v>
      </c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</row>
    <row r="107" spans="1:18" customFormat="1" ht="15" customHeight="1" thickTop="1">
      <c r="B107" s="30"/>
      <c r="C107" s="31"/>
      <c r="D107" s="32"/>
      <c r="E107" s="32"/>
      <c r="F107" s="33"/>
      <c r="G107" s="33"/>
      <c r="H107" s="33"/>
      <c r="I107" s="34"/>
      <c r="J107" s="34"/>
      <c r="K107" s="34"/>
      <c r="L107" s="35"/>
      <c r="M107" s="36"/>
      <c r="N107" s="37"/>
      <c r="O107" s="36"/>
      <c r="P107" s="36"/>
      <c r="Q107" s="36"/>
      <c r="R107" s="36"/>
    </row>
    <row r="108" spans="1:18" customFormat="1" ht="15" customHeight="1" thickBot="1">
      <c r="B108" s="5" t="s">
        <v>16</v>
      </c>
      <c r="C108" s="31"/>
      <c r="D108" s="39"/>
      <c r="E108" s="39"/>
      <c r="F108" s="40">
        <f>+$F$5</f>
        <v>2020</v>
      </c>
      <c r="G108" s="40">
        <f>+$G$5</f>
        <v>2021</v>
      </c>
      <c r="H108" s="40">
        <f>+$H$5</f>
        <v>2022</v>
      </c>
      <c r="I108" s="40">
        <f>+$I$5</f>
        <v>2023</v>
      </c>
      <c r="J108" s="40">
        <f>+$J$5</f>
        <v>2024</v>
      </c>
      <c r="K108" s="40">
        <f>+$K$5</f>
        <v>2025</v>
      </c>
      <c r="L108" s="35"/>
      <c r="M108" s="40">
        <f t="shared" ref="M108:R108" si="69">+F108</f>
        <v>2020</v>
      </c>
      <c r="N108" s="40">
        <f t="shared" si="69"/>
        <v>2021</v>
      </c>
      <c r="O108" s="40">
        <f t="shared" si="69"/>
        <v>2022</v>
      </c>
      <c r="P108" s="40">
        <f t="shared" si="69"/>
        <v>2023</v>
      </c>
      <c r="Q108" s="40">
        <f t="shared" si="69"/>
        <v>2024</v>
      </c>
      <c r="R108" s="40">
        <f t="shared" si="69"/>
        <v>2025</v>
      </c>
    </row>
    <row r="109" spans="1:18" customFormat="1" ht="15" customHeight="1">
      <c r="B109" s="38"/>
      <c r="C109" s="31"/>
      <c r="D109" s="39"/>
      <c r="E109" s="39"/>
      <c r="F109" s="39"/>
      <c r="G109" s="39"/>
      <c r="H109" s="39"/>
      <c r="I109" s="41"/>
      <c r="J109" s="41"/>
      <c r="K109" s="41"/>
      <c r="L109" s="42"/>
      <c r="M109" s="43"/>
      <c r="N109" s="37"/>
      <c r="O109" s="43"/>
      <c r="P109" s="43"/>
      <c r="Q109" s="43"/>
      <c r="R109" s="43"/>
    </row>
    <row r="110" spans="1:18" customFormat="1" ht="15" customHeight="1">
      <c r="B110" s="38"/>
      <c r="C110" s="31"/>
      <c r="D110" s="39"/>
      <c r="E110" s="39"/>
      <c r="F110" s="39"/>
      <c r="G110" s="39"/>
      <c r="H110" s="39"/>
      <c r="I110" s="35"/>
      <c r="J110" s="35"/>
      <c r="K110" s="35"/>
      <c r="L110" s="35"/>
      <c r="M110" s="36"/>
      <c r="N110" s="36"/>
      <c r="O110" s="36"/>
      <c r="P110" s="36"/>
      <c r="Q110" s="36"/>
      <c r="R110" s="36"/>
    </row>
    <row r="111" spans="1:18" customFormat="1" ht="15" customHeight="1">
      <c r="B111" s="44" t="s">
        <v>146</v>
      </c>
      <c r="C111" s="45" t="s">
        <v>97</v>
      </c>
      <c r="D111" s="46" t="str">
        <f>+D74</f>
        <v>Total Assets</v>
      </c>
      <c r="E111" s="45" t="s">
        <v>97</v>
      </c>
      <c r="F111" s="47">
        <f>F74</f>
        <v>6262047</v>
      </c>
      <c r="G111" s="47">
        <f t="shared" ref="G111:K111" si="70">G74</f>
        <v>6863505</v>
      </c>
      <c r="H111" s="47">
        <f t="shared" si="70"/>
        <v>7765823</v>
      </c>
      <c r="I111" s="47">
        <f t="shared" si="70"/>
        <v>8051312</v>
      </c>
      <c r="J111" s="47">
        <f t="shared" si="70"/>
        <v>9497146</v>
      </c>
      <c r="K111" s="47">
        <f t="shared" si="70"/>
        <v>9628352</v>
      </c>
      <c r="L111" s="48" t="s">
        <v>97</v>
      </c>
      <c r="M111" s="66">
        <f t="shared" ref="M111:R111" si="71">IF(F112=0,,F111/F112)</f>
        <v>3.4999066624040633</v>
      </c>
      <c r="N111" s="66">
        <f t="shared" si="71"/>
        <v>3.1036697753837359</v>
      </c>
      <c r="O111" s="66">
        <f t="shared" si="71"/>
        <v>2.9840006885721233</v>
      </c>
      <c r="P111" s="66">
        <f t="shared" si="71"/>
        <v>2.6220459568126588</v>
      </c>
      <c r="Q111" s="66">
        <f t="shared" si="71"/>
        <v>2.6803579099117814</v>
      </c>
      <c r="R111" s="66">
        <f t="shared" si="71"/>
        <v>2.4595112525934022</v>
      </c>
    </row>
    <row r="112" spans="1:18" customFormat="1" ht="15" customHeight="1">
      <c r="B112" s="44"/>
      <c r="C112" s="50"/>
      <c r="D112" s="50" t="str">
        <f>+D9</f>
        <v>Equity</v>
      </c>
      <c r="E112" s="50"/>
      <c r="F112" s="51">
        <f>F9</f>
        <v>1789204</v>
      </c>
      <c r="G112" s="51">
        <f t="shared" ref="G112:K112" si="72">G9</f>
        <v>2211416</v>
      </c>
      <c r="H112" s="51">
        <f t="shared" si="72"/>
        <v>2602487</v>
      </c>
      <c r="I112" s="51">
        <f t="shared" si="72"/>
        <v>3070622</v>
      </c>
      <c r="J112" s="51">
        <f t="shared" si="72"/>
        <v>3543238</v>
      </c>
      <c r="K112" s="51">
        <f t="shared" si="72"/>
        <v>3914742</v>
      </c>
      <c r="L112" s="52"/>
      <c r="M112" s="67"/>
      <c r="N112" s="67"/>
      <c r="O112" s="67"/>
      <c r="P112" s="67"/>
      <c r="Q112" s="67"/>
      <c r="R112" s="67"/>
    </row>
    <row r="113" spans="1:18" customFormat="1" ht="15" customHeight="1">
      <c r="B113" s="44"/>
      <c r="C113" s="50"/>
      <c r="D113" s="50"/>
      <c r="E113" s="50"/>
      <c r="F113" s="51"/>
      <c r="G113" s="51"/>
      <c r="H113" s="51"/>
      <c r="I113" s="51"/>
      <c r="J113" s="51"/>
      <c r="K113" s="51"/>
      <c r="L113" s="52"/>
      <c r="M113" s="67"/>
      <c r="N113" s="67"/>
      <c r="O113" s="67"/>
      <c r="P113" s="67"/>
      <c r="Q113" s="67"/>
      <c r="R113" s="67"/>
    </row>
    <row r="114" spans="1:18" customFormat="1" ht="15" customHeight="1">
      <c r="B114" s="44" t="s">
        <v>147</v>
      </c>
      <c r="C114" s="45" t="s">
        <v>97</v>
      </c>
      <c r="D114" s="46" t="s">
        <v>148</v>
      </c>
      <c r="E114" s="45" t="s">
        <v>97</v>
      </c>
      <c r="F114" s="47">
        <f>'Financial Statements'!F120</f>
        <v>4472843</v>
      </c>
      <c r="G114" s="47">
        <f>'Financial Statements'!G120</f>
        <v>4652089</v>
      </c>
      <c r="H114" s="47">
        <f>'Financial Statements'!H120</f>
        <v>5163336</v>
      </c>
      <c r="I114" s="47">
        <f>'Financial Statements'!I120</f>
        <v>4980690</v>
      </c>
      <c r="J114" s="47">
        <f>'Financial Statements'!J120</f>
        <v>5953908</v>
      </c>
      <c r="K114" s="47">
        <f>'Financial Statements'!K120</f>
        <v>5713610</v>
      </c>
      <c r="L114" s="48" t="s">
        <v>97</v>
      </c>
      <c r="M114" s="66">
        <f t="shared" ref="M114:R114" si="73">IF(F115=0,,F114/F115)</f>
        <v>2.4999066624040633</v>
      </c>
      <c r="N114" s="66">
        <f t="shared" si="73"/>
        <v>2.1036697753837359</v>
      </c>
      <c r="O114" s="66">
        <f t="shared" si="73"/>
        <v>1.9840006885721235</v>
      </c>
      <c r="P114" s="66">
        <f t="shared" si="73"/>
        <v>1.6220459568126588</v>
      </c>
      <c r="Q114" s="66">
        <f t="shared" si="73"/>
        <v>1.6803579099117814</v>
      </c>
      <c r="R114" s="66">
        <f t="shared" si="73"/>
        <v>1.459511252593402</v>
      </c>
    </row>
    <row r="115" spans="1:18" customFormat="1" ht="15" customHeight="1">
      <c r="B115" s="44"/>
      <c r="C115" s="50"/>
      <c r="D115" s="50" t="str">
        <f>+D112</f>
        <v>Equity</v>
      </c>
      <c r="E115" s="50"/>
      <c r="F115" s="51">
        <f>F112</f>
        <v>1789204</v>
      </c>
      <c r="G115" s="51">
        <f t="shared" ref="G115:K115" si="74">G112</f>
        <v>2211416</v>
      </c>
      <c r="H115" s="51">
        <f t="shared" si="74"/>
        <v>2602487</v>
      </c>
      <c r="I115" s="51">
        <f t="shared" si="74"/>
        <v>3070622</v>
      </c>
      <c r="J115" s="51">
        <f t="shared" si="74"/>
        <v>3543238</v>
      </c>
      <c r="K115" s="51">
        <f t="shared" si="74"/>
        <v>3914742</v>
      </c>
      <c r="L115" s="52"/>
      <c r="M115" s="67"/>
      <c r="N115" s="67"/>
      <c r="O115" s="67"/>
      <c r="P115" s="67"/>
      <c r="Q115" s="67"/>
      <c r="R115" s="67"/>
    </row>
    <row r="116" spans="1:18" customFormat="1" ht="15" customHeight="1">
      <c r="M116" s="64"/>
      <c r="N116" s="64"/>
      <c r="O116" s="64"/>
      <c r="P116" s="64"/>
      <c r="Q116" s="64"/>
      <c r="R116" s="64"/>
    </row>
    <row r="117" spans="1:18" customFormat="1" ht="15" customHeight="1">
      <c r="B117" s="44" t="s">
        <v>149</v>
      </c>
      <c r="C117" s="45" t="s">
        <v>97</v>
      </c>
      <c r="D117" s="46" t="s">
        <v>150</v>
      </c>
      <c r="E117" s="45" t="s">
        <v>97</v>
      </c>
      <c r="F117" s="47">
        <f>'Financial Statements'!F141</f>
        <v>2724745</v>
      </c>
      <c r="G117" s="47">
        <f>'Financial Statements'!G141</f>
        <v>2630011</v>
      </c>
      <c r="H117" s="47">
        <f>'Financial Statements'!H141</f>
        <v>2811779</v>
      </c>
      <c r="I117" s="47">
        <f>'Financial Statements'!I141</f>
        <v>2477186</v>
      </c>
      <c r="J117" s="47">
        <f>'Financial Statements'!J141</f>
        <v>3351888</v>
      </c>
      <c r="K117" s="47">
        <f>'Financial Statements'!K141</f>
        <v>2884220</v>
      </c>
      <c r="L117" s="48" t="s">
        <v>97</v>
      </c>
      <c r="M117" s="66">
        <f t="shared" ref="M117:R117" si="75">IF(F118=0,,F117/F118)</f>
        <v>1.522881124790689</v>
      </c>
      <c r="N117" s="66">
        <f t="shared" si="75"/>
        <v>1.1892882207599114</v>
      </c>
      <c r="O117" s="66">
        <f t="shared" si="75"/>
        <v>1.0804199982555147</v>
      </c>
      <c r="P117" s="66">
        <f t="shared" si="75"/>
        <v>0.80673752744557947</v>
      </c>
      <c r="Q117" s="66">
        <f t="shared" si="75"/>
        <v>0.94599572481442118</v>
      </c>
      <c r="R117" s="66">
        <f t="shared" si="75"/>
        <v>0.7367586420765404</v>
      </c>
    </row>
    <row r="118" spans="1:18" customFormat="1" ht="15" customHeight="1">
      <c r="B118" s="44"/>
      <c r="C118" s="50"/>
      <c r="D118" s="50" t="str">
        <f>+D115</f>
        <v>Equity</v>
      </c>
      <c r="E118" s="50"/>
      <c r="F118" s="51">
        <f>F115</f>
        <v>1789204</v>
      </c>
      <c r="G118" s="51">
        <f t="shared" ref="G118:K118" si="76">G115</f>
        <v>2211416</v>
      </c>
      <c r="H118" s="51">
        <f t="shared" si="76"/>
        <v>2602487</v>
      </c>
      <c r="I118" s="51">
        <f t="shared" si="76"/>
        <v>3070622</v>
      </c>
      <c r="J118" s="51">
        <f t="shared" si="76"/>
        <v>3543238</v>
      </c>
      <c r="K118" s="51">
        <f t="shared" si="76"/>
        <v>3914742</v>
      </c>
      <c r="L118" s="52"/>
      <c r="M118" s="67"/>
      <c r="N118" s="67"/>
      <c r="O118" s="67"/>
      <c r="P118" s="67"/>
      <c r="Q118" s="67"/>
      <c r="R118" s="67"/>
    </row>
    <row r="119" spans="1:18" customFormat="1" ht="15" customHeight="1">
      <c r="M119" s="64"/>
      <c r="N119" s="64"/>
      <c r="O119" s="64"/>
      <c r="P119" s="64"/>
      <c r="Q119" s="64"/>
      <c r="R119" s="64"/>
    </row>
    <row r="120" spans="1:18" customFormat="1" ht="15" customHeight="1">
      <c r="B120" s="44" t="s">
        <v>151</v>
      </c>
      <c r="C120" s="45" t="s">
        <v>97</v>
      </c>
      <c r="D120" s="46" t="s">
        <v>150</v>
      </c>
      <c r="E120" s="45" t="s">
        <v>97</v>
      </c>
      <c r="F120" s="47">
        <f>F117</f>
        <v>2724745</v>
      </c>
      <c r="G120" s="47">
        <f t="shared" ref="G120:K120" si="77">G117</f>
        <v>2630011</v>
      </c>
      <c r="H120" s="47">
        <f t="shared" si="77"/>
        <v>2811779</v>
      </c>
      <c r="I120" s="47">
        <f t="shared" si="77"/>
        <v>2477186</v>
      </c>
      <c r="J120" s="47">
        <f t="shared" si="77"/>
        <v>3351888</v>
      </c>
      <c r="K120" s="47">
        <f t="shared" si="77"/>
        <v>2884220</v>
      </c>
      <c r="L120" s="48" t="s">
        <v>97</v>
      </c>
      <c r="M120" s="66">
        <f t="shared" ref="M120:R120" si="78">IF(F121=0,,F120/F121)</f>
        <v>2.3843461992152362</v>
      </c>
      <c r="N120" s="66">
        <f t="shared" si="78"/>
        <v>1.7173036225813381</v>
      </c>
      <c r="O120" s="66">
        <f t="shared" si="78"/>
        <v>1.585345005968064</v>
      </c>
      <c r="P120" s="66">
        <f t="shared" si="78"/>
        <v>1.086640458240959</v>
      </c>
      <c r="Q120" s="66">
        <f t="shared" si="78"/>
        <v>1.3121359405729747</v>
      </c>
      <c r="R120" s="66">
        <f t="shared" si="78"/>
        <v>1.0406140453419117</v>
      </c>
    </row>
    <row r="121" spans="1:18" customFormat="1" ht="15" customHeight="1">
      <c r="B121" s="44"/>
      <c r="C121" s="50"/>
      <c r="D121" s="50" t="s">
        <v>6</v>
      </c>
      <c r="E121" s="50"/>
      <c r="F121" s="51">
        <f>F29</f>
        <v>1142764</v>
      </c>
      <c r="G121" s="51">
        <f t="shared" ref="G121:K121" si="79">G29</f>
        <v>1531477</v>
      </c>
      <c r="H121" s="51">
        <f t="shared" si="79"/>
        <v>1773607</v>
      </c>
      <c r="I121" s="51">
        <f t="shared" si="79"/>
        <v>2279674</v>
      </c>
      <c r="J121" s="51">
        <f t="shared" si="79"/>
        <v>2554528</v>
      </c>
      <c r="K121" s="51">
        <f t="shared" si="79"/>
        <v>2771652</v>
      </c>
      <c r="L121" s="52"/>
      <c r="M121" s="67"/>
      <c r="N121" s="67"/>
      <c r="O121" s="67"/>
      <c r="P121" s="67"/>
      <c r="Q121" s="67"/>
      <c r="R121" s="67"/>
    </row>
    <row r="122" spans="1:18" customFormat="1" ht="15" customHeight="1">
      <c r="B122" s="44"/>
      <c r="C122" s="50"/>
      <c r="D122" s="50"/>
      <c r="E122" s="50"/>
      <c r="F122" s="51"/>
      <c r="G122" s="51"/>
      <c r="H122" s="51"/>
      <c r="I122" s="51"/>
      <c r="J122" s="51"/>
      <c r="K122" s="51"/>
      <c r="L122" s="52"/>
      <c r="M122" s="67"/>
      <c r="N122" s="67"/>
      <c r="O122" s="67"/>
      <c r="P122" s="67"/>
      <c r="Q122" s="67"/>
      <c r="R122" s="67"/>
    </row>
    <row r="123" spans="1:18" customFormat="1" ht="15" customHeight="1">
      <c r="B123" s="44" t="s">
        <v>152</v>
      </c>
      <c r="C123" s="45" t="s">
        <v>97</v>
      </c>
      <c r="D123" s="46" t="s">
        <v>153</v>
      </c>
      <c r="E123" s="45" t="s">
        <v>97</v>
      </c>
      <c r="F123" s="47">
        <f>F120-F80</f>
        <v>1362339</v>
      </c>
      <c r="G123" s="47">
        <f t="shared" ref="G123:K123" si="80">G120-G80</f>
        <v>1285865</v>
      </c>
      <c r="H123" s="47">
        <f t="shared" si="80"/>
        <v>1422878</v>
      </c>
      <c r="I123" s="47">
        <f t="shared" si="80"/>
        <v>1355205</v>
      </c>
      <c r="J123" s="47">
        <f t="shared" si="80"/>
        <v>1609674</v>
      </c>
      <c r="K123" s="47">
        <f t="shared" si="80"/>
        <v>1416509</v>
      </c>
      <c r="L123" s="48" t="s">
        <v>97</v>
      </c>
      <c r="M123" s="66">
        <f t="shared" ref="M123:R123" si="81">IF(F124=0,,F123/F124)</f>
        <v>1.1921437847184546</v>
      </c>
      <c r="N123" s="66">
        <f t="shared" si="81"/>
        <v>0.83962410143932953</v>
      </c>
      <c r="O123" s="66">
        <f t="shared" si="81"/>
        <v>0.80225100600076571</v>
      </c>
      <c r="P123" s="66">
        <f t="shared" si="81"/>
        <v>0.59447315712685234</v>
      </c>
      <c r="Q123" s="66">
        <f t="shared" si="81"/>
        <v>0.63012580014781594</v>
      </c>
      <c r="R123" s="66">
        <f t="shared" si="81"/>
        <v>0.51107029309595864</v>
      </c>
    </row>
    <row r="124" spans="1:18" customFormat="1" ht="15" customHeight="1">
      <c r="B124" s="44"/>
      <c r="C124" s="50"/>
      <c r="D124" s="50" t="s">
        <v>6</v>
      </c>
      <c r="E124" s="50"/>
      <c r="F124" s="51">
        <f>F121</f>
        <v>1142764</v>
      </c>
      <c r="G124" s="51">
        <f t="shared" ref="G124:K124" si="82">G121</f>
        <v>1531477</v>
      </c>
      <c r="H124" s="51">
        <f t="shared" si="82"/>
        <v>1773607</v>
      </c>
      <c r="I124" s="51">
        <f t="shared" si="82"/>
        <v>2279674</v>
      </c>
      <c r="J124" s="51">
        <f t="shared" si="82"/>
        <v>2554528</v>
      </c>
      <c r="K124" s="51">
        <f t="shared" si="82"/>
        <v>2771652</v>
      </c>
      <c r="L124" s="52"/>
      <c r="M124" s="67"/>
      <c r="N124" s="67"/>
      <c r="O124" s="67"/>
      <c r="P124" s="67"/>
      <c r="Q124" s="67"/>
      <c r="R124" s="67"/>
    </row>
    <row r="125" spans="1:18" customFormat="1" ht="15" customHeight="1"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3"/>
      <c r="N125" s="63"/>
      <c r="O125" s="63"/>
      <c r="P125" s="63"/>
      <c r="Q125" s="63"/>
      <c r="R125" s="63"/>
    </row>
    <row r="126" spans="1:18" customFormat="1" ht="15" customHeight="1">
      <c r="M126" s="64"/>
      <c r="N126" s="64"/>
      <c r="O126" s="64"/>
      <c r="P126" s="64"/>
      <c r="Q126" s="64"/>
      <c r="R126" s="64"/>
    </row>
    <row r="127" spans="1:18" customFormat="1" ht="15" customHeight="1" thickBot="1">
      <c r="A127" t="s">
        <v>64</v>
      </c>
      <c r="B127" s="93" t="s">
        <v>154</v>
      </c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</row>
    <row r="128" spans="1:18" customFormat="1" ht="15" customHeight="1" thickTop="1">
      <c r="B128" s="30"/>
      <c r="C128" s="31"/>
      <c r="D128" s="32"/>
      <c r="E128" s="32"/>
      <c r="F128" s="33"/>
      <c r="G128" s="33"/>
      <c r="H128" s="33"/>
      <c r="I128" s="34"/>
      <c r="J128" s="34"/>
      <c r="K128" s="34"/>
      <c r="L128" s="35"/>
      <c r="M128" s="36"/>
      <c r="N128" s="37"/>
      <c r="O128" s="36"/>
      <c r="P128" s="36"/>
      <c r="Q128" s="36"/>
      <c r="R128" s="36"/>
    </row>
    <row r="129" spans="1:18" customFormat="1" ht="15" customHeight="1" thickBot="1">
      <c r="B129" s="5" t="s">
        <v>16</v>
      </c>
      <c r="C129" s="31"/>
      <c r="D129" s="39"/>
      <c r="E129" s="39"/>
      <c r="F129" s="40">
        <f>+$F$5</f>
        <v>2020</v>
      </c>
      <c r="G129" s="40">
        <f>+$G$5</f>
        <v>2021</v>
      </c>
      <c r="H129" s="40">
        <f>+$H$5</f>
        <v>2022</v>
      </c>
      <c r="I129" s="40">
        <f>+$I$5</f>
        <v>2023</v>
      </c>
      <c r="J129" s="40">
        <f>+$J$5</f>
        <v>2024</v>
      </c>
      <c r="K129" s="40">
        <f>+$K$5</f>
        <v>2025</v>
      </c>
      <c r="L129" s="35"/>
      <c r="M129" s="40">
        <f t="shared" ref="M129:R129" si="83">+F129</f>
        <v>2020</v>
      </c>
      <c r="N129" s="40">
        <f t="shared" si="83"/>
        <v>2021</v>
      </c>
      <c r="O129" s="40">
        <f t="shared" si="83"/>
        <v>2022</v>
      </c>
      <c r="P129" s="40">
        <f t="shared" si="83"/>
        <v>2023</v>
      </c>
      <c r="Q129" s="40">
        <f t="shared" si="83"/>
        <v>2024</v>
      </c>
      <c r="R129" s="40">
        <f t="shared" si="83"/>
        <v>2025</v>
      </c>
    </row>
    <row r="130" spans="1:18" customFormat="1" ht="15" customHeight="1">
      <c r="B130" s="38"/>
      <c r="C130" s="31"/>
      <c r="D130" s="39"/>
      <c r="E130" s="39"/>
      <c r="F130" s="39"/>
      <c r="G130" s="39"/>
      <c r="H130" s="39"/>
      <c r="I130" s="41"/>
      <c r="J130" s="41"/>
      <c r="K130" s="41"/>
      <c r="L130" s="42"/>
      <c r="M130" s="43"/>
      <c r="N130" s="37"/>
      <c r="O130" s="43"/>
      <c r="P130" s="43"/>
      <c r="Q130" s="43"/>
      <c r="R130" s="43"/>
    </row>
    <row r="131" spans="1:18" customFormat="1" ht="15" customHeight="1">
      <c r="B131" s="38"/>
      <c r="C131" s="31"/>
      <c r="D131" s="39"/>
      <c r="E131" s="39"/>
      <c r="F131" s="39"/>
      <c r="G131" s="39"/>
      <c r="H131" s="39"/>
      <c r="I131" s="35"/>
      <c r="J131" s="35"/>
      <c r="K131" s="35"/>
      <c r="L131" s="35"/>
      <c r="M131" s="36"/>
      <c r="N131" s="36"/>
      <c r="O131" s="36"/>
      <c r="P131" s="36"/>
      <c r="Q131" s="36"/>
      <c r="R131" s="36"/>
    </row>
    <row r="132" spans="1:18" customFormat="1" ht="15" customHeight="1">
      <c r="B132" s="44" t="s">
        <v>155</v>
      </c>
      <c r="C132" s="45" t="s">
        <v>97</v>
      </c>
      <c r="D132" s="46" t="s">
        <v>45</v>
      </c>
      <c r="E132" s="45" t="s">
        <v>97</v>
      </c>
      <c r="F132" s="47">
        <f>'Financial Statements'!F97</f>
        <v>3075883</v>
      </c>
      <c r="G132" s="47">
        <f>'Financial Statements'!G97</f>
        <v>3363719</v>
      </c>
      <c r="H132" s="47">
        <f>'Financial Statements'!H97</f>
        <v>3952512</v>
      </c>
      <c r="I132" s="47">
        <f>'Financial Statements'!I97</f>
        <v>3986007</v>
      </c>
      <c r="J132" s="47">
        <f>'Financial Statements'!J97</f>
        <v>5019903</v>
      </c>
      <c r="K132" s="47">
        <f>'Financial Statements'!K97</f>
        <v>4824373</v>
      </c>
      <c r="L132" s="48" t="s">
        <v>97</v>
      </c>
      <c r="M132" s="66">
        <f t="shared" ref="M132:R132" si="84">IF(F133=0,,F132/F133)</f>
        <v>1.332397818180558</v>
      </c>
      <c r="N132" s="66">
        <f t="shared" si="84"/>
        <v>1.5358353468885322</v>
      </c>
      <c r="O132" s="66">
        <f t="shared" si="84"/>
        <v>1.3568797456317359</v>
      </c>
      <c r="P132" s="66">
        <f t="shared" si="84"/>
        <v>1.4249938331408796</v>
      </c>
      <c r="Q132" s="66">
        <f t="shared" si="84"/>
        <v>1.4400502937243003</v>
      </c>
      <c r="R132" s="66">
        <f t="shared" si="84"/>
        <v>1.5040739982110884</v>
      </c>
    </row>
    <row r="133" spans="1:18" customFormat="1" ht="15" customHeight="1">
      <c r="B133" s="44"/>
      <c r="C133" s="50"/>
      <c r="D133" s="50" t="s">
        <v>66</v>
      </c>
      <c r="E133" s="50"/>
      <c r="F133" s="51">
        <f>'Financial Statements'!F160</f>
        <v>2308532</v>
      </c>
      <c r="G133" s="51">
        <f>'Financial Statements'!G160</f>
        <v>2190156</v>
      </c>
      <c r="H133" s="51">
        <f>'Financial Statements'!H160</f>
        <v>2912942</v>
      </c>
      <c r="I133" s="51">
        <f>'Financial Statements'!I160</f>
        <v>2797210</v>
      </c>
      <c r="J133" s="51">
        <f>'Financial Statements'!J160</f>
        <v>3485922</v>
      </c>
      <c r="K133" s="51">
        <f>'Financial Statements'!K160</f>
        <v>3207537</v>
      </c>
      <c r="L133" s="52"/>
      <c r="M133" s="67"/>
      <c r="N133" s="67"/>
      <c r="O133" s="67"/>
      <c r="P133" s="67"/>
      <c r="Q133" s="67"/>
      <c r="R133" s="67"/>
    </row>
    <row r="134" spans="1:18" customFormat="1" ht="15" customHeight="1">
      <c r="B134" s="44"/>
      <c r="C134" s="50"/>
      <c r="D134" s="50"/>
      <c r="E134" s="50"/>
      <c r="F134" s="51"/>
      <c r="G134" s="51"/>
      <c r="H134" s="51"/>
      <c r="I134" s="51"/>
      <c r="J134" s="51"/>
      <c r="K134" s="51"/>
      <c r="L134" s="52"/>
      <c r="M134" s="67"/>
      <c r="N134" s="67"/>
      <c r="O134" s="67"/>
      <c r="P134" s="67"/>
      <c r="Q134" s="67"/>
      <c r="R134" s="67"/>
    </row>
    <row r="135" spans="1:18" customFormat="1" ht="15" customHeight="1">
      <c r="B135" s="44" t="s">
        <v>156</v>
      </c>
      <c r="C135" s="45" t="s">
        <v>97</v>
      </c>
      <c r="D135" s="46" t="s">
        <v>157</v>
      </c>
      <c r="E135" s="45" t="s">
        <v>97</v>
      </c>
      <c r="F135" s="47">
        <f>F132-F92</f>
        <v>2615266</v>
      </c>
      <c r="G135" s="47">
        <f t="shared" ref="G135:K135" si="85">G132-G92</f>
        <v>2823144</v>
      </c>
      <c r="H135" s="47">
        <f t="shared" si="85"/>
        <v>3277850</v>
      </c>
      <c r="I135" s="47">
        <f t="shared" si="85"/>
        <v>3037493</v>
      </c>
      <c r="J135" s="47">
        <f t="shared" si="85"/>
        <v>3931709</v>
      </c>
      <c r="K135" s="47">
        <f t="shared" si="85"/>
        <v>3710469</v>
      </c>
      <c r="L135" s="48" t="s">
        <v>97</v>
      </c>
      <c r="M135" s="66">
        <f t="shared" ref="M135:R135" si="86">IF(F136=0,,F135/F136)</f>
        <v>1.1328697198046205</v>
      </c>
      <c r="N135" s="66">
        <f t="shared" si="86"/>
        <v>1.2890150290664226</v>
      </c>
      <c r="O135" s="66">
        <f t="shared" si="86"/>
        <v>1.1252712893013317</v>
      </c>
      <c r="P135" s="66">
        <f t="shared" si="86"/>
        <v>1.0859009513050504</v>
      </c>
      <c r="Q135" s="66">
        <f t="shared" si="86"/>
        <v>1.1278820925998918</v>
      </c>
      <c r="R135" s="66">
        <f t="shared" si="86"/>
        <v>1.1567969441973702</v>
      </c>
    </row>
    <row r="136" spans="1:18" customFormat="1" ht="15" customHeight="1">
      <c r="B136" s="44"/>
      <c r="C136" s="50"/>
      <c r="D136" s="50" t="str">
        <f>+D133</f>
        <v>Current Liabilities</v>
      </c>
      <c r="E136" s="50"/>
      <c r="F136" s="51">
        <f>F133</f>
        <v>2308532</v>
      </c>
      <c r="G136" s="51">
        <f t="shared" ref="G136:K136" si="87">G133</f>
        <v>2190156</v>
      </c>
      <c r="H136" s="51">
        <f t="shared" si="87"/>
        <v>2912942</v>
      </c>
      <c r="I136" s="51">
        <f t="shared" si="87"/>
        <v>2797210</v>
      </c>
      <c r="J136" s="51">
        <f t="shared" si="87"/>
        <v>3485922</v>
      </c>
      <c r="K136" s="51">
        <f t="shared" si="87"/>
        <v>3207537</v>
      </c>
      <c r="L136" s="52"/>
      <c r="M136" s="67"/>
      <c r="N136" s="67"/>
      <c r="O136" s="67"/>
      <c r="P136" s="67"/>
      <c r="Q136" s="67"/>
      <c r="R136" s="67"/>
    </row>
    <row r="137" spans="1:18" customFormat="1" ht="15" customHeight="1">
      <c r="M137" s="64"/>
      <c r="N137" s="64"/>
      <c r="O137" s="64"/>
      <c r="P137" s="64"/>
      <c r="Q137" s="64"/>
      <c r="R137" s="64"/>
    </row>
    <row r="138" spans="1:18" customFormat="1" ht="15" customHeight="1">
      <c r="B138" s="44" t="s">
        <v>158</v>
      </c>
      <c r="C138" s="45" t="s">
        <v>97</v>
      </c>
      <c r="D138" s="46" t="s">
        <v>6</v>
      </c>
      <c r="E138" s="45" t="s">
        <v>97</v>
      </c>
      <c r="F138" s="47">
        <f>F29</f>
        <v>1142764</v>
      </c>
      <c r="G138" s="47">
        <f t="shared" ref="G138:K138" si="88">G29</f>
        <v>1531477</v>
      </c>
      <c r="H138" s="47">
        <f t="shared" si="88"/>
        <v>1773607</v>
      </c>
      <c r="I138" s="47">
        <f t="shared" si="88"/>
        <v>2279674</v>
      </c>
      <c r="J138" s="47">
        <f t="shared" si="88"/>
        <v>2554528</v>
      </c>
      <c r="K138" s="47">
        <f t="shared" si="88"/>
        <v>2771652</v>
      </c>
      <c r="L138" s="48" t="s">
        <v>97</v>
      </c>
      <c r="M138" s="66">
        <f t="shared" ref="M138:R138" si="89">IF(F139=0,,F138/F139)</f>
        <v>23.278008636845108</v>
      </c>
      <c r="N138" s="66">
        <f t="shared" si="89"/>
        <v>20.083363932018464</v>
      </c>
      <c r="O138" s="66">
        <f t="shared" si="89"/>
        <v>13.288033624526125</v>
      </c>
      <c r="P138" s="66">
        <f t="shared" si="89"/>
        <v>15.472830439681269</v>
      </c>
      <c r="Q138" s="66">
        <f t="shared" si="89"/>
        <v>17.509359470852324</v>
      </c>
      <c r="R138" s="66">
        <f t="shared" si="89"/>
        <v>12.937981384145715</v>
      </c>
    </row>
    <row r="139" spans="1:18" customFormat="1" ht="15" customHeight="1">
      <c r="B139" s="44"/>
      <c r="C139" s="50"/>
      <c r="D139" s="50" t="s">
        <v>8</v>
      </c>
      <c r="E139" s="50"/>
      <c r="F139" s="51">
        <f>F61</f>
        <v>49092</v>
      </c>
      <c r="G139" s="51">
        <f t="shared" ref="G139:K139" si="90">G61</f>
        <v>76256</v>
      </c>
      <c r="H139" s="51">
        <f t="shared" si="90"/>
        <v>133474</v>
      </c>
      <c r="I139" s="51">
        <f t="shared" si="90"/>
        <v>147334</v>
      </c>
      <c r="J139" s="51">
        <f t="shared" si="90"/>
        <v>145895</v>
      </c>
      <c r="K139" s="51">
        <f t="shared" si="90"/>
        <v>214226</v>
      </c>
      <c r="L139" s="52"/>
      <c r="M139" s="67"/>
      <c r="N139" s="67"/>
      <c r="O139" s="67"/>
      <c r="P139" s="67"/>
      <c r="Q139" s="67"/>
      <c r="R139" s="67"/>
    </row>
    <row r="140" spans="1:18" customFormat="1" ht="15" customHeight="1"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3"/>
      <c r="N140" s="63"/>
      <c r="O140" s="63"/>
      <c r="P140" s="63"/>
      <c r="Q140" s="63"/>
      <c r="R140" s="63"/>
    </row>
    <row r="141" spans="1:18" customFormat="1" ht="15" customHeight="1">
      <c r="M141" s="64"/>
      <c r="N141" s="64"/>
      <c r="O141" s="64"/>
      <c r="P141" s="64"/>
      <c r="Q141" s="64"/>
      <c r="R141" s="64"/>
    </row>
    <row r="142" spans="1:18" customFormat="1" ht="15" customHeight="1" thickBot="1">
      <c r="A142" t="s">
        <v>64</v>
      </c>
      <c r="B142" s="93" t="s">
        <v>159</v>
      </c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</row>
    <row r="143" spans="1:18" customFormat="1" ht="15" customHeight="1" thickTop="1">
      <c r="B143" s="30"/>
      <c r="C143" s="31"/>
      <c r="D143" s="32"/>
      <c r="E143" s="32"/>
      <c r="F143" s="33"/>
      <c r="G143" s="33"/>
      <c r="H143" s="33"/>
      <c r="I143" s="34"/>
      <c r="J143" s="34"/>
      <c r="K143" s="34"/>
      <c r="L143" s="35"/>
      <c r="M143" s="36"/>
      <c r="N143" s="37"/>
      <c r="O143" s="36"/>
      <c r="P143" s="36"/>
      <c r="Q143" s="36"/>
      <c r="R143" s="36"/>
    </row>
    <row r="144" spans="1:18" customFormat="1" ht="15" customHeight="1" thickBot="1">
      <c r="B144" s="5" t="s">
        <v>16</v>
      </c>
      <c r="C144" s="31"/>
      <c r="D144" s="39"/>
      <c r="E144" s="39"/>
      <c r="F144" s="40">
        <f>+$F$5</f>
        <v>2020</v>
      </c>
      <c r="G144" s="40">
        <f>+$G$5</f>
        <v>2021</v>
      </c>
      <c r="H144" s="40">
        <f>+$H$5</f>
        <v>2022</v>
      </c>
      <c r="I144" s="40">
        <f>+$I$5</f>
        <v>2023</v>
      </c>
      <c r="J144" s="40">
        <f>+$J$5</f>
        <v>2024</v>
      </c>
      <c r="K144" s="40">
        <f>+$K$5</f>
        <v>2025</v>
      </c>
      <c r="L144" s="35"/>
      <c r="M144" s="40">
        <f t="shared" ref="M144:R144" si="91">+F144</f>
        <v>2020</v>
      </c>
      <c r="N144" s="40">
        <f t="shared" si="91"/>
        <v>2021</v>
      </c>
      <c r="O144" s="40">
        <f t="shared" si="91"/>
        <v>2022</v>
      </c>
      <c r="P144" s="40">
        <f t="shared" si="91"/>
        <v>2023</v>
      </c>
      <c r="Q144" s="40">
        <f t="shared" si="91"/>
        <v>2024</v>
      </c>
      <c r="R144" s="40">
        <f t="shared" si="91"/>
        <v>2025</v>
      </c>
    </row>
    <row r="145" spans="2:18" customFormat="1" ht="15" customHeight="1">
      <c r="B145" s="38"/>
      <c r="C145" s="31"/>
      <c r="D145" s="39"/>
      <c r="E145" s="39"/>
      <c r="F145" s="39"/>
      <c r="G145" s="39"/>
      <c r="H145" s="39"/>
      <c r="I145" s="41"/>
      <c r="J145" s="41"/>
      <c r="K145" s="41"/>
      <c r="L145" s="42"/>
      <c r="M145" s="43"/>
      <c r="N145" s="37"/>
      <c r="O145" s="43"/>
      <c r="P145" s="43"/>
      <c r="Q145" s="43"/>
      <c r="R145" s="43"/>
    </row>
    <row r="146" spans="2:18" customFormat="1" ht="15" customHeight="1">
      <c r="B146" s="38"/>
      <c r="C146" s="31"/>
      <c r="D146" s="39"/>
      <c r="E146" s="39"/>
      <c r="F146" s="39"/>
      <c r="G146" s="39"/>
      <c r="H146" s="39"/>
      <c r="I146" s="35"/>
      <c r="J146" s="35"/>
      <c r="K146" s="35"/>
      <c r="L146" s="35"/>
      <c r="M146" s="36"/>
      <c r="N146" s="36"/>
      <c r="O146" s="36"/>
      <c r="P146" s="36"/>
      <c r="Q146" s="36"/>
      <c r="R146" s="36"/>
    </row>
    <row r="147" spans="2:18" customFormat="1" ht="15" customHeight="1">
      <c r="B147" s="44" t="s">
        <v>160</v>
      </c>
      <c r="C147" s="45" t="s">
        <v>97</v>
      </c>
      <c r="D147" s="46" t="s">
        <v>161</v>
      </c>
      <c r="E147" s="45" t="s">
        <v>97</v>
      </c>
      <c r="G147" s="47">
        <f>'Financial Statements'!G8-'Financial Statements'!F8</f>
        <v>811104</v>
      </c>
      <c r="H147" s="47">
        <f>'Financial Statements'!H8-'Financial Statements'!G8</f>
        <v>824360</v>
      </c>
      <c r="I147" s="47">
        <f>'Financial Statements'!I8-'Financial Statements'!H8</f>
        <v>874892</v>
      </c>
      <c r="J147" s="47">
        <f>'Financial Statements'!J8-'Financial Statements'!I8</f>
        <v>706522</v>
      </c>
      <c r="K147" s="47">
        <f>'Financial Statements'!K8-'Financial Statements'!J8</f>
        <v>469100</v>
      </c>
      <c r="L147" s="48" t="s">
        <v>97</v>
      </c>
      <c r="M147" s="43"/>
      <c r="N147" s="49">
        <f>IF(G148=0,,G147/G148)</f>
        <v>0.23443735024380091</v>
      </c>
      <c r="O147" s="73">
        <f>IF(H148=0,,H147/H148)</f>
        <v>0.19301813624969386</v>
      </c>
      <c r="P147" s="73">
        <f>IF(I148=0,,I147/I148)</f>
        <v>0.17170723971758817</v>
      </c>
      <c r="Q147" s="73">
        <f>IF(J148=0,,J147/J148)</f>
        <v>0.11834249949666223</v>
      </c>
      <c r="R147" s="73">
        <f>IF(K148=0,,K147/K148)</f>
        <v>7.0259596553250814E-2</v>
      </c>
    </row>
    <row r="148" spans="2:18" customFormat="1" ht="15" customHeight="1">
      <c r="B148" s="44"/>
      <c r="C148" s="50"/>
      <c r="D148" s="50" t="s">
        <v>162</v>
      </c>
      <c r="E148" s="50"/>
      <c r="G148" s="51">
        <f>'Financial Statements'!F8</f>
        <v>3459790</v>
      </c>
      <c r="H148" s="51">
        <f>'Financial Statements'!G8</f>
        <v>4270894</v>
      </c>
      <c r="I148" s="51">
        <f>'Financial Statements'!H8</f>
        <v>5095254</v>
      </c>
      <c r="J148" s="51">
        <f>'Financial Statements'!I8</f>
        <v>5970146</v>
      </c>
      <c r="K148" s="51">
        <f>'Financial Statements'!J8</f>
        <v>6676668</v>
      </c>
      <c r="L148" s="52"/>
      <c r="M148" s="67"/>
      <c r="N148" s="49"/>
      <c r="O148" s="49"/>
      <c r="P148" s="49"/>
      <c r="Q148" s="49"/>
      <c r="R148" s="49"/>
    </row>
    <row r="149" spans="2:18" customFormat="1" ht="15" customHeight="1">
      <c r="B149" s="44"/>
      <c r="C149" s="50"/>
      <c r="D149" s="50"/>
      <c r="E149" s="50"/>
      <c r="G149" s="51"/>
      <c r="H149" s="51"/>
      <c r="I149" s="51"/>
      <c r="J149" s="51"/>
      <c r="K149" s="51"/>
      <c r="L149" s="52"/>
      <c r="M149" s="67"/>
      <c r="N149" s="49"/>
      <c r="O149" s="49"/>
      <c r="P149" s="49"/>
      <c r="Q149" s="49"/>
      <c r="R149" s="49"/>
    </row>
    <row r="150" spans="2:18" customFormat="1" ht="15" customHeight="1">
      <c r="B150" s="44" t="s">
        <v>163</v>
      </c>
      <c r="C150" s="45" t="s">
        <v>97</v>
      </c>
      <c r="D150" s="46" t="s">
        <v>164</v>
      </c>
      <c r="E150" s="45" t="s">
        <v>97</v>
      </c>
      <c r="G150" s="47">
        <f>'Financial Statements'!G19-'Financial Statements'!F19</f>
        <v>388713</v>
      </c>
      <c r="H150" s="47">
        <f>'Financial Statements'!H19-'Financial Statements'!G19</f>
        <v>242130</v>
      </c>
      <c r="I150" s="47">
        <f>'Financial Statements'!I19-'Financial Statements'!H19</f>
        <v>506067</v>
      </c>
      <c r="J150" s="47">
        <f>'Financial Statements'!J19-'Financial Statements'!I19</f>
        <v>274854</v>
      </c>
      <c r="K150" s="47">
        <f>'Financial Statements'!K19-'Financial Statements'!J19</f>
        <v>217124</v>
      </c>
      <c r="L150" s="48" t="s">
        <v>97</v>
      </c>
      <c r="M150" s="74"/>
      <c r="N150" s="49">
        <f>IF(G151=0,,G150/G151)</f>
        <v>0.34015159735518447</v>
      </c>
      <c r="O150" s="49">
        <f>IF(H151=0,,H150/H151)</f>
        <v>0.15810227642987781</v>
      </c>
      <c r="P150" s="49">
        <f>IF(I151=0,,I150/I151)</f>
        <v>0.28533209442678115</v>
      </c>
      <c r="Q150" s="49">
        <f>IF(J151=0,,J150/J151)</f>
        <v>0.12056723899996227</v>
      </c>
      <c r="R150" s="49">
        <f>IF(K151=0,,K150/K151)</f>
        <v>8.4995740896165559E-2</v>
      </c>
    </row>
    <row r="151" spans="2:18" customFormat="1" ht="15" customHeight="1">
      <c r="B151" s="44"/>
      <c r="C151" s="50"/>
      <c r="D151" s="50" t="s">
        <v>165</v>
      </c>
      <c r="E151" s="50"/>
      <c r="G151" s="51">
        <f>'Financial Statements'!F19</f>
        <v>1142764</v>
      </c>
      <c r="H151" s="51">
        <f>'Financial Statements'!G19</f>
        <v>1531477</v>
      </c>
      <c r="I151" s="51">
        <f>'Financial Statements'!H19</f>
        <v>1773607</v>
      </c>
      <c r="J151" s="51">
        <f>'Financial Statements'!I19</f>
        <v>2279674</v>
      </c>
      <c r="K151" s="51">
        <f>'Financial Statements'!J19</f>
        <v>2554528</v>
      </c>
      <c r="L151" s="52"/>
      <c r="M151" s="67"/>
      <c r="N151" s="49"/>
      <c r="O151" s="49"/>
      <c r="P151" s="49"/>
      <c r="Q151" s="49"/>
      <c r="R151" s="49"/>
    </row>
    <row r="152" spans="2:18" customFormat="1" ht="15" customHeight="1">
      <c r="B152" s="44"/>
      <c r="C152" s="50"/>
      <c r="D152" s="50"/>
      <c r="E152" s="50"/>
      <c r="G152" s="51"/>
      <c r="H152" s="51"/>
      <c r="I152" s="51"/>
      <c r="J152" s="51"/>
      <c r="K152" s="51"/>
      <c r="L152" s="52"/>
      <c r="M152" s="67"/>
      <c r="N152" s="49"/>
      <c r="O152" s="49"/>
      <c r="P152" s="49"/>
      <c r="Q152" s="49"/>
      <c r="R152" s="49"/>
    </row>
    <row r="153" spans="2:18" customFormat="1" ht="15" customHeight="1">
      <c r="B153" s="44" t="s">
        <v>166</v>
      </c>
      <c r="C153" s="45" t="s">
        <v>97</v>
      </c>
      <c r="D153" s="46" t="s">
        <v>167</v>
      </c>
      <c r="E153" s="45" t="s">
        <v>97</v>
      </c>
      <c r="G153" s="47">
        <f>'Financial Statements'!G23-'Financial Statements'!F23</f>
        <v>359361</v>
      </c>
      <c r="H153" s="47">
        <f>'Financial Statements'!H23-'Financial Statements'!G23</f>
        <v>151894</v>
      </c>
      <c r="I153" s="47">
        <f>'Financial Statements'!I23-'Financial Statements'!H23</f>
        <v>389987</v>
      </c>
      <c r="J153" s="47">
        <f>'Financial Statements'!J23-'Financial Statements'!I23</f>
        <v>270382</v>
      </c>
      <c r="K153" s="47">
        <f>'Financial Statements'!K23-'Financial Statements'!J23</f>
        <v>221964</v>
      </c>
      <c r="L153" s="48" t="s">
        <v>97</v>
      </c>
      <c r="M153" s="74"/>
      <c r="N153" s="49">
        <f>IF(G154=0,,G153/G154)</f>
        <v>0.50181182946600256</v>
      </c>
      <c r="O153" s="49">
        <f>IF(H154=0,,H153/H154)</f>
        <v>0.14123263114046833</v>
      </c>
      <c r="P153" s="49">
        <f>IF(I154=0,,I153/I154)</f>
        <v>0.31773889465545363</v>
      </c>
      <c r="Q153" s="49">
        <f>IF(J154=0,,J153/J154)</f>
        <v>0.16717397204966833</v>
      </c>
      <c r="R153" s="49">
        <f>IF(K154=0,,K153/K154)</f>
        <v>0.11758118523046737</v>
      </c>
    </row>
    <row r="154" spans="2:18" customFormat="1" ht="15" customHeight="1">
      <c r="B154" s="44"/>
      <c r="C154" s="50"/>
      <c r="D154" s="50" t="s">
        <v>168</v>
      </c>
      <c r="E154" s="50"/>
      <c r="G154" s="51">
        <f>'Financial Statements'!F23</f>
        <v>716127</v>
      </c>
      <c r="H154" s="51">
        <f>'Financial Statements'!G23</f>
        <v>1075488</v>
      </c>
      <c r="I154" s="51">
        <f>'Financial Statements'!H23</f>
        <v>1227382</v>
      </c>
      <c r="J154" s="51">
        <f>'Financial Statements'!I23</f>
        <v>1617369</v>
      </c>
      <c r="K154" s="51">
        <f>'Financial Statements'!J23</f>
        <v>1887751</v>
      </c>
      <c r="L154" s="52"/>
      <c r="M154" s="67"/>
      <c r="N154" s="49"/>
      <c r="O154" s="49"/>
      <c r="P154" s="49"/>
      <c r="Q154" s="49"/>
      <c r="R154" s="49"/>
    </row>
    <row r="155" spans="2:18" customFormat="1" ht="15" customHeight="1">
      <c r="B155" s="44"/>
      <c r="C155" s="50"/>
      <c r="D155" s="50"/>
      <c r="E155" s="50"/>
      <c r="G155" s="51"/>
      <c r="H155" s="51"/>
      <c r="I155" s="51"/>
      <c r="J155" s="51"/>
      <c r="K155" s="51"/>
      <c r="L155" s="52"/>
      <c r="M155" s="67"/>
      <c r="N155" s="49"/>
      <c r="O155" s="49"/>
      <c r="P155" s="49"/>
      <c r="Q155" s="49"/>
      <c r="R155" s="49"/>
    </row>
    <row r="156" spans="2:18" customFormat="1" ht="15" customHeight="1">
      <c r="B156" s="44" t="s">
        <v>169</v>
      </c>
      <c r="C156" s="45" t="s">
        <v>97</v>
      </c>
      <c r="D156" s="46" t="s">
        <v>170</v>
      </c>
      <c r="E156" s="45" t="s">
        <v>97</v>
      </c>
      <c r="G156" s="47">
        <f>'Financial Statements'!G34-'Financial Statements'!F34</f>
        <v>224256</v>
      </c>
      <c r="H156" s="47">
        <f>'Financial Statements'!H34-'Financial Statements'!G34</f>
        <v>106158</v>
      </c>
      <c r="I156" s="47">
        <f>'Financial Statements'!I34-'Financial Statements'!H34</f>
        <v>318163</v>
      </c>
      <c r="J156" s="47">
        <f>'Financial Statements'!J34-'Financial Statements'!I34</f>
        <v>268456</v>
      </c>
      <c r="K156" s="47">
        <f>'Financial Statements'!K34-'Financial Statements'!J34</f>
        <v>73602</v>
      </c>
      <c r="L156" s="48" t="s">
        <v>97</v>
      </c>
      <c r="M156" s="74"/>
      <c r="N156" s="49">
        <f>IF(G157=0,,G156/G157)</f>
        <v>0.36830902640914465</v>
      </c>
      <c r="O156" s="49">
        <f>IF(H157=0,,H156/H157)</f>
        <v>0.12741977300224694</v>
      </c>
      <c r="P156" s="49">
        <f>IF(I157=0,,I156/I157)</f>
        <v>0.33872568120311636</v>
      </c>
      <c r="Q156" s="49">
        <f>IF(J157=0,,J156/J157)</f>
        <v>0.21349119691567983</v>
      </c>
      <c r="R156" s="49">
        <f>IF(K157=0,,K156/K157)</f>
        <v>4.8234728978650818E-2</v>
      </c>
    </row>
    <row r="157" spans="2:18" customFormat="1" ht="15" customHeight="1">
      <c r="B157" s="44"/>
      <c r="C157" s="50"/>
      <c r="D157" s="50" t="s">
        <v>171</v>
      </c>
      <c r="E157" s="50"/>
      <c r="G157" s="51">
        <f>'Financial Statements'!F34</f>
        <v>608880</v>
      </c>
      <c r="H157" s="51">
        <f>'Financial Statements'!G34</f>
        <v>833136</v>
      </c>
      <c r="I157" s="51">
        <f>'Financial Statements'!H34</f>
        <v>939294</v>
      </c>
      <c r="J157" s="51">
        <f>'Financial Statements'!I34</f>
        <v>1257457</v>
      </c>
      <c r="K157" s="51">
        <f>'Financial Statements'!J34</f>
        <v>1525913</v>
      </c>
      <c r="L157" s="52"/>
      <c r="M157" s="67"/>
      <c r="N157" s="49"/>
      <c r="O157" s="49"/>
      <c r="P157" s="49"/>
      <c r="Q157" s="49"/>
      <c r="R157" s="49"/>
    </row>
    <row r="158" spans="2:18" customFormat="1" ht="15" customHeight="1">
      <c r="B158" s="44"/>
      <c r="C158" s="50"/>
      <c r="D158" s="50"/>
      <c r="E158" s="50"/>
      <c r="G158" s="51"/>
      <c r="H158" s="51"/>
      <c r="I158" s="51"/>
      <c r="J158" s="51"/>
      <c r="K158" s="51"/>
      <c r="L158" s="52"/>
      <c r="M158" s="67"/>
      <c r="N158" s="49"/>
      <c r="O158" s="49"/>
      <c r="P158" s="49"/>
      <c r="Q158" s="49"/>
      <c r="R158" s="49"/>
    </row>
    <row r="159" spans="2:18" customFormat="1" ht="15" customHeight="1">
      <c r="B159" s="44" t="s">
        <v>172</v>
      </c>
      <c r="C159" s="45" t="s">
        <v>97</v>
      </c>
      <c r="D159" s="46" t="s">
        <v>173</v>
      </c>
      <c r="E159" s="45" t="s">
        <v>97</v>
      </c>
      <c r="G159" s="47">
        <f>'Financial Statements'!G99-'Financial Statements'!F99</f>
        <v>601458</v>
      </c>
      <c r="H159" s="47">
        <f>'Financial Statements'!H99-'Financial Statements'!G99</f>
        <v>902318</v>
      </c>
      <c r="I159" s="47">
        <f>'Financial Statements'!I99-'Financial Statements'!H99</f>
        <v>285489</v>
      </c>
      <c r="J159" s="47">
        <f>'Financial Statements'!J99-'Financial Statements'!I99</f>
        <v>1445834</v>
      </c>
      <c r="K159" s="47">
        <f>'Financial Statements'!K99-'Financial Statements'!J99</f>
        <v>131206</v>
      </c>
      <c r="L159" s="48" t="s">
        <v>97</v>
      </c>
      <c r="M159" s="74"/>
      <c r="N159" s="49">
        <f>IF(G160=0,,G159/G160)</f>
        <v>9.6048145279011801E-2</v>
      </c>
      <c r="O159" s="49">
        <f>IF(H160=0,,H159/H160)</f>
        <v>0.13146606580748466</v>
      </c>
      <c r="P159" s="49">
        <f>IF(I160=0,,I159/I160)</f>
        <v>3.6762233700150006E-2</v>
      </c>
      <c r="Q159" s="49">
        <f>IF(J160=0,,J159/J160)</f>
        <v>0.17957744029792908</v>
      </c>
      <c r="R159" s="49">
        <f>IF(K160=0,,K159/K160)</f>
        <v>1.3815308304200019E-2</v>
      </c>
    </row>
    <row r="160" spans="2:18" customFormat="1" ht="15" customHeight="1">
      <c r="B160" s="44"/>
      <c r="C160" s="50"/>
      <c r="D160" s="50" t="s">
        <v>174</v>
      </c>
      <c r="E160" s="50"/>
      <c r="G160" s="51">
        <f>'Financial Statements'!F99</f>
        <v>6262047</v>
      </c>
      <c r="H160" s="51">
        <f>'Financial Statements'!G99</f>
        <v>6863505</v>
      </c>
      <c r="I160" s="51">
        <f>'Financial Statements'!H99</f>
        <v>7765823</v>
      </c>
      <c r="J160" s="51">
        <f>'Financial Statements'!I99</f>
        <v>8051312</v>
      </c>
      <c r="K160" s="51">
        <f>'Financial Statements'!J99</f>
        <v>9497146</v>
      </c>
      <c r="L160" s="52"/>
      <c r="M160" s="67"/>
      <c r="N160" s="67"/>
      <c r="O160" s="67"/>
      <c r="P160" s="67"/>
      <c r="Q160" s="67"/>
      <c r="R160" s="67"/>
    </row>
    <row r="161" spans="1:18" customFormat="1" ht="15" customHeight="1">
      <c r="B161" s="44"/>
      <c r="C161" s="50"/>
      <c r="D161" s="50"/>
      <c r="E161" s="50"/>
      <c r="G161" s="51"/>
      <c r="H161" s="51"/>
      <c r="I161" s="51"/>
      <c r="J161" s="51"/>
      <c r="K161" s="51"/>
      <c r="L161" s="52"/>
      <c r="M161" s="67"/>
      <c r="N161" s="75"/>
      <c r="O161" s="67"/>
      <c r="P161" s="67"/>
      <c r="Q161" s="67"/>
      <c r="R161" s="67"/>
    </row>
    <row r="162" spans="1:18" customFormat="1" ht="15" customHeight="1">
      <c r="B162" s="44" t="s">
        <v>175</v>
      </c>
      <c r="C162" s="45" t="s">
        <v>97</v>
      </c>
      <c r="D162" s="46" t="s">
        <v>176</v>
      </c>
      <c r="E162" s="45" t="s">
        <v>97</v>
      </c>
      <c r="G162" s="76">
        <f>+N153</f>
        <v>0.50181182946600256</v>
      </c>
      <c r="H162" s="76">
        <f t="shared" ref="H162:K162" si="92">+O153</f>
        <v>0.14123263114046833</v>
      </c>
      <c r="I162" s="76">
        <f t="shared" si="92"/>
        <v>0.31773889465545363</v>
      </c>
      <c r="J162" s="76">
        <f t="shared" si="92"/>
        <v>0.16717397204966833</v>
      </c>
      <c r="K162" s="76">
        <f t="shared" si="92"/>
        <v>0.11758118523046737</v>
      </c>
      <c r="L162" s="48" t="s">
        <v>97</v>
      </c>
      <c r="M162" s="74"/>
      <c r="N162" s="66">
        <f>IF(G163=0,,G162/G163)</f>
        <v>2.1404943749114556</v>
      </c>
      <c r="O162" s="66">
        <f>IF(H163=0,,H162/H163)</f>
        <v>0.73170653226992988</v>
      </c>
      <c r="P162" s="66">
        <f>IF(I163=0,,I162/I163)</f>
        <v>1.8504688280939576</v>
      </c>
      <c r="Q162" s="66">
        <f>IF(J163=0,,J162/J163)</f>
        <v>1.4126283690195622</v>
      </c>
      <c r="R162" s="66">
        <f>IF(K163=0,,K162/K163)</f>
        <v>1.6735249133027801</v>
      </c>
    </row>
    <row r="163" spans="1:18" customFormat="1" ht="15" customHeight="1">
      <c r="B163" s="44"/>
      <c r="C163" s="50"/>
      <c r="D163" s="50" t="s">
        <v>177</v>
      </c>
      <c r="E163" s="50"/>
      <c r="G163" s="77">
        <f>+N147</f>
        <v>0.23443735024380091</v>
      </c>
      <c r="H163" s="77">
        <f t="shared" ref="H163:K163" si="93">+O147</f>
        <v>0.19301813624969386</v>
      </c>
      <c r="I163" s="77">
        <f t="shared" si="93"/>
        <v>0.17170723971758817</v>
      </c>
      <c r="J163" s="77">
        <f t="shared" si="93"/>
        <v>0.11834249949666223</v>
      </c>
      <c r="K163" s="77">
        <f t="shared" si="93"/>
        <v>7.0259596553250814E-2</v>
      </c>
      <c r="L163" s="52"/>
      <c r="M163" s="67"/>
      <c r="N163" s="75"/>
      <c r="O163" s="67"/>
      <c r="P163" s="67"/>
      <c r="Q163" s="67"/>
      <c r="R163" s="67"/>
    </row>
    <row r="164" spans="1:18" customFormat="1" ht="15" customHeight="1">
      <c r="B164" s="44"/>
      <c r="C164" s="50"/>
      <c r="D164" s="24"/>
      <c r="E164" s="50"/>
      <c r="G164" s="77"/>
      <c r="H164" s="77"/>
      <c r="I164" s="77"/>
      <c r="J164" s="77"/>
      <c r="K164" s="77"/>
      <c r="L164" s="52"/>
      <c r="M164" s="67"/>
      <c r="N164" s="75"/>
      <c r="O164" s="67"/>
      <c r="P164" s="67"/>
      <c r="Q164" s="67"/>
      <c r="R164" s="67"/>
    </row>
    <row r="165" spans="1:18" customFormat="1" ht="15" customHeight="1">
      <c r="B165" s="44" t="s">
        <v>178</v>
      </c>
      <c r="C165" s="45" t="s">
        <v>97</v>
      </c>
      <c r="D165" s="46" t="s">
        <v>179</v>
      </c>
      <c r="E165" s="45" t="s">
        <v>97</v>
      </c>
      <c r="G165" s="76">
        <f>+N156</f>
        <v>0.36830902640914465</v>
      </c>
      <c r="H165" s="76">
        <f t="shared" ref="H165:K165" si="94">+O156</f>
        <v>0.12741977300224694</v>
      </c>
      <c r="I165" s="76">
        <f t="shared" si="94"/>
        <v>0.33872568120311636</v>
      </c>
      <c r="J165" s="76">
        <f t="shared" si="94"/>
        <v>0.21349119691567983</v>
      </c>
      <c r="K165" s="76">
        <f t="shared" si="94"/>
        <v>4.8234728978650818E-2</v>
      </c>
      <c r="L165" s="48" t="s">
        <v>97</v>
      </c>
      <c r="M165" s="74"/>
      <c r="N165" s="66">
        <f>IF(G166=0,,G165/G166)</f>
        <v>0.73395843776954517</v>
      </c>
      <c r="O165" s="66">
        <f>IF(H166=0,,H165/H166)</f>
        <v>0.90219782760767742</v>
      </c>
      <c r="P165" s="66">
        <f>IF(I166=0,,I165/I166)</f>
        <v>1.0660504171842737</v>
      </c>
      <c r="Q165" s="66">
        <f>IF(J166=0,,J165/J166)</f>
        <v>1.2770600249436581</v>
      </c>
      <c r="R165" s="66">
        <f>IF(K166=0,,K165/K166)</f>
        <v>0.41022489171296722</v>
      </c>
    </row>
    <row r="166" spans="1:18" customFormat="1" ht="15" customHeight="1">
      <c r="B166" s="44"/>
      <c r="C166" s="50"/>
      <c r="D166" s="50" t="s">
        <v>180</v>
      </c>
      <c r="E166" s="50"/>
      <c r="G166" s="78">
        <f>+G162</f>
        <v>0.50181182946600256</v>
      </c>
      <c r="H166" s="78">
        <f t="shared" ref="H166:K166" si="95">+H162</f>
        <v>0.14123263114046833</v>
      </c>
      <c r="I166" s="78">
        <f t="shared" si="95"/>
        <v>0.31773889465545363</v>
      </c>
      <c r="J166" s="78">
        <f t="shared" si="95"/>
        <v>0.16717397204966833</v>
      </c>
      <c r="K166" s="78">
        <f t="shared" si="95"/>
        <v>0.11758118523046737</v>
      </c>
      <c r="L166" s="52"/>
      <c r="M166" s="67"/>
      <c r="N166" s="75"/>
      <c r="O166" s="67"/>
      <c r="P166" s="67"/>
      <c r="Q166" s="67"/>
      <c r="R166" s="67"/>
    </row>
    <row r="167" spans="1:18" customFormat="1" ht="15" customHeight="1">
      <c r="B167" s="44"/>
      <c r="C167" s="50"/>
      <c r="D167" s="24"/>
      <c r="E167" s="50"/>
      <c r="G167" s="77"/>
      <c r="H167" s="77"/>
      <c r="I167" s="77"/>
      <c r="J167" s="77"/>
      <c r="K167" s="77"/>
      <c r="L167" s="52"/>
      <c r="M167" s="67"/>
      <c r="N167" s="75"/>
      <c r="O167" s="67"/>
      <c r="P167" s="67"/>
      <c r="Q167" s="67"/>
      <c r="R167" s="67"/>
    </row>
    <row r="168" spans="1:18" customFormat="1" ht="15" customHeight="1">
      <c r="B168" s="44" t="s">
        <v>181</v>
      </c>
      <c r="C168" s="45" t="s">
        <v>97</v>
      </c>
      <c r="D168" s="46" t="s">
        <v>179</v>
      </c>
      <c r="E168" s="45" t="s">
        <v>97</v>
      </c>
      <c r="G168" s="76">
        <f>+G165</f>
        <v>0.36830902640914465</v>
      </c>
      <c r="H168" s="76">
        <f t="shared" ref="H168:K168" si="96">+H165</f>
        <v>0.12741977300224694</v>
      </c>
      <c r="I168" s="76">
        <f t="shared" si="96"/>
        <v>0.33872568120311636</v>
      </c>
      <c r="J168" s="76">
        <f t="shared" si="96"/>
        <v>0.21349119691567983</v>
      </c>
      <c r="K168" s="76">
        <f t="shared" si="96"/>
        <v>4.8234728978650818E-2</v>
      </c>
      <c r="L168" s="48" t="s">
        <v>97</v>
      </c>
      <c r="M168" s="74"/>
      <c r="N168" s="66">
        <f>IF(G169=0,,G168/G169)</f>
        <v>1.5710339074645108</v>
      </c>
      <c r="O168" s="66">
        <f>IF(H169=0,,H168/H169)</f>
        <v>0.66014404386027759</v>
      </c>
      <c r="P168" s="66">
        <f>IF(I169=0,,I168/I169)</f>
        <v>1.9726930661760578</v>
      </c>
      <c r="Q168" s="66">
        <f>IF(J169=0,,J168/J169)</f>
        <v>1.804011220176241</v>
      </c>
      <c r="R168" s="66">
        <f>IF(K169=0,,K168/K169)</f>
        <v>0.68652157633858579</v>
      </c>
    </row>
    <row r="169" spans="1:18" customFormat="1" ht="15" customHeight="1">
      <c r="B169" s="44"/>
      <c r="C169" s="50"/>
      <c r="D169" s="50" t="str">
        <f>+D163</f>
        <v>Percentage Change in Revenue</v>
      </c>
      <c r="E169" s="50"/>
      <c r="G169" s="78">
        <f>+G163</f>
        <v>0.23443735024380091</v>
      </c>
      <c r="H169" s="78">
        <f t="shared" ref="H169:K169" si="97">+H163</f>
        <v>0.19301813624969386</v>
      </c>
      <c r="I169" s="78">
        <f t="shared" si="97"/>
        <v>0.17170723971758817</v>
      </c>
      <c r="J169" s="78">
        <f t="shared" si="97"/>
        <v>0.11834249949666223</v>
      </c>
      <c r="K169" s="78">
        <f t="shared" si="97"/>
        <v>7.0259596553250814E-2</v>
      </c>
      <c r="L169" s="52"/>
      <c r="M169" s="67"/>
      <c r="N169" s="75"/>
      <c r="O169" s="67"/>
      <c r="P169" s="67"/>
      <c r="Q169" s="67"/>
      <c r="R169" s="67"/>
    </row>
    <row r="170" spans="1:18" customFormat="1" ht="15" customHeight="1"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3"/>
      <c r="N170" s="63"/>
      <c r="O170" s="63"/>
      <c r="P170" s="63"/>
      <c r="Q170" s="63"/>
      <c r="R170" s="63"/>
    </row>
    <row r="171" spans="1:18" customFormat="1" ht="15" customHeight="1">
      <c r="M171" s="64"/>
      <c r="N171" s="64"/>
      <c r="O171" s="64"/>
      <c r="P171" s="64"/>
      <c r="Q171" s="64"/>
      <c r="R171" s="64"/>
    </row>
    <row r="172" spans="1:18" customFormat="1" ht="15" customHeight="1" thickBot="1">
      <c r="A172" t="s">
        <v>64</v>
      </c>
      <c r="B172" s="93" t="s">
        <v>182</v>
      </c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</row>
    <row r="173" spans="1:18" customFormat="1" ht="15" customHeight="1" thickTop="1">
      <c r="B173" s="30"/>
      <c r="C173" s="31"/>
      <c r="D173" s="32"/>
      <c r="E173" s="32"/>
      <c r="F173" s="33"/>
      <c r="G173" s="33"/>
      <c r="H173" s="33"/>
      <c r="I173" s="34"/>
      <c r="J173" s="34"/>
      <c r="K173" s="34"/>
      <c r="L173" s="35"/>
      <c r="M173" s="36"/>
      <c r="N173" s="37"/>
      <c r="O173" s="36"/>
      <c r="P173" s="36"/>
      <c r="Q173" s="36"/>
      <c r="R173" s="36"/>
    </row>
    <row r="174" spans="1:18" customFormat="1" ht="15" customHeight="1" thickBot="1">
      <c r="B174" s="5" t="s">
        <v>16</v>
      </c>
      <c r="C174" s="31"/>
      <c r="D174" s="39"/>
      <c r="E174" s="39"/>
      <c r="F174" s="40">
        <f>+$F$5</f>
        <v>2020</v>
      </c>
      <c r="G174" s="40">
        <f>+$G$5</f>
        <v>2021</v>
      </c>
      <c r="H174" s="40">
        <f>+$H$5</f>
        <v>2022</v>
      </c>
      <c r="I174" s="40">
        <f>+$I$5</f>
        <v>2023</v>
      </c>
      <c r="J174" s="40">
        <f>+$J$5</f>
        <v>2024</v>
      </c>
      <c r="K174" s="40">
        <f>+$K$5</f>
        <v>2025</v>
      </c>
      <c r="L174" s="35"/>
      <c r="M174" s="40">
        <f t="shared" ref="M174:R174" si="98">+F174</f>
        <v>2020</v>
      </c>
      <c r="N174" s="40">
        <f t="shared" si="98"/>
        <v>2021</v>
      </c>
      <c r="O174" s="40">
        <f t="shared" si="98"/>
        <v>2022</v>
      </c>
      <c r="P174" s="40">
        <f t="shared" si="98"/>
        <v>2023</v>
      </c>
      <c r="Q174" s="40">
        <f t="shared" si="98"/>
        <v>2024</v>
      </c>
      <c r="R174" s="40">
        <f t="shared" si="98"/>
        <v>2025</v>
      </c>
    </row>
    <row r="175" spans="1:18" customFormat="1" ht="15" customHeight="1">
      <c r="B175" s="38"/>
      <c r="C175" s="31"/>
      <c r="D175" s="39"/>
      <c r="E175" s="39"/>
      <c r="F175" s="39"/>
      <c r="G175" s="39"/>
      <c r="H175" s="39"/>
      <c r="I175" s="41"/>
      <c r="J175" s="41"/>
      <c r="K175" s="41"/>
      <c r="L175" s="42"/>
      <c r="M175" s="43"/>
      <c r="N175" s="37"/>
      <c r="O175" s="43"/>
      <c r="P175" s="43"/>
      <c r="Q175" s="43"/>
      <c r="R175" s="43"/>
    </row>
    <row r="176" spans="1:18" customFormat="1" ht="15" customHeight="1">
      <c r="B176" s="38"/>
      <c r="C176" s="31"/>
      <c r="D176" s="39"/>
      <c r="E176" s="39"/>
      <c r="F176" s="39"/>
      <c r="G176" s="39"/>
      <c r="H176" s="39"/>
      <c r="I176" s="35"/>
      <c r="J176" s="35"/>
      <c r="K176" s="35"/>
      <c r="L176" s="35"/>
      <c r="M176" s="36"/>
      <c r="N176" s="36"/>
      <c r="O176" s="36"/>
      <c r="P176" s="36"/>
      <c r="Q176" s="36"/>
      <c r="R176" s="36"/>
    </row>
    <row r="177" spans="1:18" customFormat="1" ht="15" customHeight="1">
      <c r="B177" s="44" t="s">
        <v>118</v>
      </c>
      <c r="C177" s="45" t="s">
        <v>97</v>
      </c>
      <c r="D177" s="46" t="str">
        <f>+D51</f>
        <v>Net Income</v>
      </c>
      <c r="E177" s="45" t="s">
        <v>97</v>
      </c>
      <c r="F177" s="47">
        <f>+F8</f>
        <v>608880</v>
      </c>
      <c r="G177" s="47">
        <f t="shared" ref="G177:K177" si="99">+G8</f>
        <v>833136</v>
      </c>
      <c r="H177" s="47">
        <f t="shared" si="99"/>
        <v>939294</v>
      </c>
      <c r="I177" s="47">
        <f t="shared" si="99"/>
        <v>1257457</v>
      </c>
      <c r="J177" s="47">
        <f t="shared" si="99"/>
        <v>1525913</v>
      </c>
      <c r="K177" s="47">
        <f t="shared" si="99"/>
        <v>1599515</v>
      </c>
      <c r="L177" s="48" t="s">
        <v>97</v>
      </c>
      <c r="M177" s="59">
        <f t="shared" ref="M177:R177" si="100">IF(F178=0,,F177/F178)</f>
        <v>0.17598755993860898</v>
      </c>
      <c r="N177" s="59">
        <f t="shared" si="100"/>
        <v>0.19507297535363791</v>
      </c>
      <c r="O177" s="59">
        <f t="shared" si="100"/>
        <v>0.18434684512293203</v>
      </c>
      <c r="P177" s="59">
        <f t="shared" si="100"/>
        <v>0.21062416229016845</v>
      </c>
      <c r="Q177" s="59">
        <f t="shared" si="100"/>
        <v>0.22854408815894395</v>
      </c>
      <c r="R177" s="59">
        <f t="shared" si="100"/>
        <v>0.22384088036443389</v>
      </c>
    </row>
    <row r="178" spans="1:18" customFormat="1" ht="15" customHeight="1">
      <c r="B178" s="44"/>
      <c r="C178" s="50"/>
      <c r="D178" s="50" t="s">
        <v>119</v>
      </c>
      <c r="E178" s="50"/>
      <c r="F178" s="51">
        <f>+F89</f>
        <v>3459790</v>
      </c>
      <c r="G178" s="51">
        <f t="shared" ref="G178:K178" si="101">+G89</f>
        <v>4270894</v>
      </c>
      <c r="H178" s="51">
        <f t="shared" si="101"/>
        <v>5095254</v>
      </c>
      <c r="I178" s="51">
        <f t="shared" si="101"/>
        <v>5970146</v>
      </c>
      <c r="J178" s="51">
        <f t="shared" si="101"/>
        <v>6676668</v>
      </c>
      <c r="K178" s="51">
        <f t="shared" si="101"/>
        <v>7145768</v>
      </c>
      <c r="L178" s="52"/>
      <c r="M178" s="55"/>
      <c r="N178" s="55"/>
      <c r="O178" s="55"/>
      <c r="P178" s="55"/>
      <c r="Q178" s="55"/>
      <c r="R178" s="55"/>
    </row>
    <row r="179" spans="1:18" customFormat="1" ht="15" customHeight="1">
      <c r="B179" s="44"/>
      <c r="C179" s="50"/>
      <c r="D179" s="50"/>
      <c r="E179" s="50"/>
      <c r="L179" s="52"/>
      <c r="M179" s="67"/>
      <c r="N179" s="59"/>
      <c r="O179" s="59"/>
      <c r="P179" s="59"/>
      <c r="Q179" s="59"/>
      <c r="R179" s="59"/>
    </row>
    <row r="180" spans="1:18" customFormat="1" ht="15" customHeight="1">
      <c r="B180" s="44" t="s">
        <v>124</v>
      </c>
      <c r="C180" s="45" t="s">
        <v>97</v>
      </c>
      <c r="D180" s="46" t="str">
        <f>+D73</f>
        <v>Revenue</v>
      </c>
      <c r="E180" s="45" t="s">
        <v>97</v>
      </c>
      <c r="F180" s="47">
        <f t="shared" ref="F180" si="102">+F73</f>
        <v>3459790</v>
      </c>
      <c r="G180" s="47">
        <f t="shared" ref="G180:K180" si="103">+G73</f>
        <v>4270894</v>
      </c>
      <c r="H180" s="47">
        <f t="shared" si="103"/>
        <v>5095254</v>
      </c>
      <c r="I180" s="47">
        <f t="shared" si="103"/>
        <v>5970146</v>
      </c>
      <c r="J180" s="47">
        <f t="shared" si="103"/>
        <v>6676668</v>
      </c>
      <c r="K180" s="47">
        <f t="shared" si="103"/>
        <v>7145768</v>
      </c>
      <c r="L180" s="48" t="s">
        <v>97</v>
      </c>
      <c r="M180" s="66">
        <f t="shared" ref="M180:R180" si="104">IF(F181=0,,F180/F181)</f>
        <v>0.55250144241970711</v>
      </c>
      <c r="N180" s="66">
        <f t="shared" si="104"/>
        <v>0.62226136645926533</v>
      </c>
      <c r="O180" s="66">
        <f t="shared" si="104"/>
        <v>0.6561125588363268</v>
      </c>
      <c r="P180" s="66">
        <f t="shared" si="104"/>
        <v>0.74151219080815645</v>
      </c>
      <c r="Q180" s="66">
        <f t="shared" si="104"/>
        <v>0.70301835941029023</v>
      </c>
      <c r="R180" s="66">
        <f t="shared" si="104"/>
        <v>0.74215899044820965</v>
      </c>
    </row>
    <row r="181" spans="1:18" customFormat="1" ht="15" customHeight="1">
      <c r="B181" s="44"/>
      <c r="C181" s="50"/>
      <c r="D181" s="50" t="str">
        <f>+D74</f>
        <v>Total Assets</v>
      </c>
      <c r="E181" s="50"/>
      <c r="F181" s="51">
        <f>F111</f>
        <v>6262047</v>
      </c>
      <c r="G181" s="51">
        <f t="shared" ref="G181:K181" si="105">G111</f>
        <v>6863505</v>
      </c>
      <c r="H181" s="51">
        <f t="shared" si="105"/>
        <v>7765823</v>
      </c>
      <c r="I181" s="51">
        <f t="shared" si="105"/>
        <v>8051312</v>
      </c>
      <c r="J181" s="51">
        <f t="shared" si="105"/>
        <v>9497146</v>
      </c>
      <c r="K181" s="51">
        <f t="shared" si="105"/>
        <v>9628352</v>
      </c>
      <c r="L181" s="52"/>
      <c r="M181" s="67"/>
      <c r="N181" s="67"/>
      <c r="O181" s="67"/>
      <c r="P181" s="67"/>
      <c r="Q181" s="67"/>
      <c r="R181" s="67"/>
    </row>
    <row r="182" spans="1:18" customFormat="1" ht="15" customHeight="1">
      <c r="B182" s="44"/>
      <c r="C182" s="50"/>
      <c r="D182" s="50"/>
      <c r="E182" s="50"/>
      <c r="L182" s="52"/>
      <c r="M182" s="79"/>
      <c r="N182" s="80"/>
      <c r="O182" s="80"/>
      <c r="P182" s="80"/>
      <c r="Q182" s="80"/>
      <c r="R182" s="80"/>
    </row>
    <row r="183" spans="1:18" customFormat="1" ht="15" customHeight="1">
      <c r="B183" s="44" t="s">
        <v>183</v>
      </c>
      <c r="C183" s="45" t="s">
        <v>97</v>
      </c>
      <c r="D183" s="46" t="str">
        <f>+D181</f>
        <v>Total Assets</v>
      </c>
      <c r="E183" s="45" t="s">
        <v>97</v>
      </c>
      <c r="F183" s="47">
        <f>F181</f>
        <v>6262047</v>
      </c>
      <c r="G183" s="47">
        <f t="shared" ref="G183:K183" si="106">G181</f>
        <v>6863505</v>
      </c>
      <c r="H183" s="47">
        <f t="shared" si="106"/>
        <v>7765823</v>
      </c>
      <c r="I183" s="47">
        <f t="shared" si="106"/>
        <v>8051312</v>
      </c>
      <c r="J183" s="47">
        <f t="shared" si="106"/>
        <v>9497146</v>
      </c>
      <c r="K183" s="47">
        <f t="shared" si="106"/>
        <v>9628352</v>
      </c>
      <c r="L183" s="48" t="s">
        <v>97</v>
      </c>
      <c r="M183" s="66">
        <f t="shared" ref="M183:R183" si="107">IF(F184=0,,F183/F184)</f>
        <v>3.4999066624040633</v>
      </c>
      <c r="N183" s="66">
        <f t="shared" si="107"/>
        <v>3.1036697753837359</v>
      </c>
      <c r="O183" s="66">
        <f t="shared" si="107"/>
        <v>2.9840006885721233</v>
      </c>
      <c r="P183" s="66">
        <f t="shared" si="107"/>
        <v>2.6220459568126588</v>
      </c>
      <c r="Q183" s="66">
        <f t="shared" si="107"/>
        <v>2.6803579099117814</v>
      </c>
      <c r="R183" s="66">
        <f t="shared" si="107"/>
        <v>2.4595112525934022</v>
      </c>
    </row>
    <row r="184" spans="1:18" customFormat="1" ht="15" customHeight="1">
      <c r="B184" s="44"/>
      <c r="C184" s="50"/>
      <c r="D184" s="50" t="s">
        <v>89</v>
      </c>
      <c r="E184" s="50"/>
      <c r="F184" s="51">
        <f>F118</f>
        <v>1789204</v>
      </c>
      <c r="G184" s="51">
        <f t="shared" ref="G184:K184" si="108">G118</f>
        <v>2211416</v>
      </c>
      <c r="H184" s="51">
        <f t="shared" si="108"/>
        <v>2602487</v>
      </c>
      <c r="I184" s="51">
        <f t="shared" si="108"/>
        <v>3070622</v>
      </c>
      <c r="J184" s="51">
        <f t="shared" si="108"/>
        <v>3543238</v>
      </c>
      <c r="K184" s="51">
        <f t="shared" si="108"/>
        <v>3914742</v>
      </c>
      <c r="L184" s="52"/>
      <c r="M184" s="67"/>
      <c r="N184" s="67"/>
      <c r="O184" s="67"/>
      <c r="P184" s="67"/>
      <c r="Q184" s="67"/>
      <c r="R184" s="67"/>
    </row>
    <row r="185" spans="1:18" customFormat="1" ht="15" customHeight="1">
      <c r="M185" s="64"/>
      <c r="N185" s="64"/>
      <c r="O185" s="64"/>
      <c r="P185" s="64"/>
      <c r="Q185" s="64"/>
      <c r="R185" s="64"/>
    </row>
    <row r="186" spans="1:18" customFormat="1" ht="15" customHeight="1">
      <c r="B186" s="71" t="s">
        <v>184</v>
      </c>
      <c r="C186" s="45" t="s">
        <v>97</v>
      </c>
      <c r="D186" s="50" t="s">
        <v>185</v>
      </c>
      <c r="E186" s="45" t="s">
        <v>97</v>
      </c>
      <c r="L186" s="48" t="s">
        <v>97</v>
      </c>
      <c r="M186" s="59">
        <f>+M177*M180*M183</f>
        <v>0.34030775696902082</v>
      </c>
      <c r="N186" s="59">
        <f t="shared" ref="N186:R186" si="109">+N177*N180*N183</f>
        <v>0.37674322696408091</v>
      </c>
      <c r="O186" s="59">
        <f t="shared" si="109"/>
        <v>0.36092168760112914</v>
      </c>
      <c r="P186" s="59">
        <f t="shared" si="109"/>
        <v>0.40951214444500172</v>
      </c>
      <c r="Q186" s="59">
        <f t="shared" si="109"/>
        <v>0.43065495459238134</v>
      </c>
      <c r="R186" s="59">
        <f t="shared" si="109"/>
        <v>0.40858759019112889</v>
      </c>
    </row>
    <row r="187" spans="1:18" customFormat="1" ht="15" customHeight="1">
      <c r="B187" s="71" t="s">
        <v>109</v>
      </c>
      <c r="C187" s="50"/>
      <c r="D187" s="50"/>
      <c r="E187" s="50"/>
      <c r="M187" s="57" t="str">
        <f>IF(ABS(M186-M$8)&lt;0.0001, "OK", "Error")</f>
        <v>OK</v>
      </c>
      <c r="N187" s="57" t="str">
        <f t="shared" ref="N187:R187" si="110">IF(ABS(N186-N$8)&lt;0.0001, "OK", "Error")</f>
        <v>OK</v>
      </c>
      <c r="O187" s="57" t="str">
        <f t="shared" si="110"/>
        <v>OK</v>
      </c>
      <c r="P187" s="57" t="str">
        <f t="shared" si="110"/>
        <v>OK</v>
      </c>
      <c r="Q187" s="57" t="str">
        <f t="shared" si="110"/>
        <v>OK</v>
      </c>
      <c r="R187" s="57" t="str">
        <f t="shared" si="110"/>
        <v>OK</v>
      </c>
    </row>
    <row r="188" spans="1:18" customFormat="1" ht="15" customHeight="1"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3"/>
      <c r="N188" s="63"/>
      <c r="O188" s="63"/>
      <c r="P188" s="63"/>
      <c r="Q188" s="63"/>
      <c r="R188" s="63"/>
    </row>
    <row r="189" spans="1:18" customFormat="1" ht="15" customHeight="1">
      <c r="M189" s="64"/>
      <c r="N189" s="64"/>
      <c r="O189" s="64"/>
      <c r="P189" s="64"/>
      <c r="Q189" s="64"/>
      <c r="R189" s="64"/>
    </row>
    <row r="190" spans="1:18" customFormat="1" ht="15" customHeight="1" thickBot="1">
      <c r="A190" t="s">
        <v>64</v>
      </c>
      <c r="B190" s="93" t="s">
        <v>186</v>
      </c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</row>
    <row r="191" spans="1:18" customFormat="1" ht="15" customHeight="1" thickTop="1">
      <c r="B191" s="30"/>
      <c r="C191" s="31"/>
      <c r="D191" s="32"/>
      <c r="E191" s="32"/>
      <c r="F191" s="33"/>
      <c r="G191" s="33"/>
      <c r="H191" s="33"/>
      <c r="I191" s="34"/>
      <c r="J191" s="34"/>
      <c r="K191" s="34"/>
      <c r="L191" s="35"/>
      <c r="M191" s="36"/>
      <c r="N191" s="37"/>
      <c r="O191" s="36"/>
      <c r="P191" s="36"/>
      <c r="Q191" s="36"/>
      <c r="R191" s="36"/>
    </row>
    <row r="192" spans="1:18" customFormat="1" ht="15" customHeight="1" thickBot="1">
      <c r="B192" s="5" t="s">
        <v>16</v>
      </c>
      <c r="C192" s="31"/>
      <c r="D192" s="39"/>
      <c r="E192" s="39"/>
      <c r="F192" s="40">
        <f>+$F$5</f>
        <v>2020</v>
      </c>
      <c r="G192" s="40">
        <f>+$G$5</f>
        <v>2021</v>
      </c>
      <c r="H192" s="40">
        <f>+$H$5</f>
        <v>2022</v>
      </c>
      <c r="I192" s="40">
        <f>+$I$5</f>
        <v>2023</v>
      </c>
      <c r="J192" s="40">
        <f>+$J$5</f>
        <v>2024</v>
      </c>
      <c r="K192" s="40">
        <f>+$K$5</f>
        <v>2025</v>
      </c>
      <c r="L192" s="35"/>
      <c r="M192" s="40">
        <f t="shared" ref="M192:R192" si="111">+F192</f>
        <v>2020</v>
      </c>
      <c r="N192" s="40">
        <f t="shared" si="111"/>
        <v>2021</v>
      </c>
      <c r="O192" s="40">
        <f t="shared" si="111"/>
        <v>2022</v>
      </c>
      <c r="P192" s="40">
        <f t="shared" si="111"/>
        <v>2023</v>
      </c>
      <c r="Q192" s="40">
        <f t="shared" si="111"/>
        <v>2024</v>
      </c>
      <c r="R192" s="40">
        <f t="shared" si="111"/>
        <v>2025</v>
      </c>
    </row>
    <row r="193" spans="2:18" customFormat="1" ht="15" customHeight="1">
      <c r="B193" s="38"/>
      <c r="C193" s="31"/>
      <c r="D193" s="39"/>
      <c r="E193" s="39"/>
      <c r="F193" s="39"/>
      <c r="G193" s="39"/>
      <c r="H193" s="39"/>
      <c r="I193" s="41"/>
      <c r="J193" s="41"/>
      <c r="K193" s="41"/>
      <c r="L193" s="42"/>
      <c r="M193" s="43"/>
      <c r="N193" s="37"/>
      <c r="O193" s="43"/>
      <c r="P193" s="43"/>
      <c r="Q193" s="43"/>
      <c r="R193" s="43"/>
    </row>
    <row r="194" spans="2:18" customFormat="1" ht="15" customHeight="1">
      <c r="B194" s="38"/>
      <c r="C194" s="31"/>
      <c r="D194" s="39"/>
      <c r="E194" s="39"/>
      <c r="F194" s="39"/>
      <c r="G194" s="39"/>
      <c r="H194" s="39"/>
      <c r="I194" s="35"/>
      <c r="J194" s="35"/>
      <c r="K194" s="35"/>
      <c r="L194" s="35"/>
      <c r="M194" s="36"/>
      <c r="N194" s="36"/>
      <c r="O194" s="36"/>
      <c r="P194" s="36"/>
      <c r="Q194" s="36"/>
      <c r="R194" s="36"/>
    </row>
    <row r="195" spans="2:18" customFormat="1" ht="15" customHeight="1">
      <c r="B195" s="44" t="s">
        <v>120</v>
      </c>
      <c r="C195" s="45" t="s">
        <v>97</v>
      </c>
      <c r="D195" s="46" t="str">
        <f>+D58</f>
        <v>Net Income</v>
      </c>
      <c r="E195" s="45" t="s">
        <v>97</v>
      </c>
      <c r="F195" s="47">
        <f t="shared" ref="F195" si="112">+F58</f>
        <v>608880</v>
      </c>
      <c r="G195" s="47">
        <f t="shared" ref="G195:K195" si="113">+G58</f>
        <v>833136</v>
      </c>
      <c r="H195" s="47">
        <f t="shared" si="113"/>
        <v>939294</v>
      </c>
      <c r="I195" s="47">
        <f t="shared" si="113"/>
        <v>1257457</v>
      </c>
      <c r="J195" s="47">
        <f t="shared" si="113"/>
        <v>1525913</v>
      </c>
      <c r="K195" s="47">
        <f t="shared" si="113"/>
        <v>1599515</v>
      </c>
      <c r="L195" s="48" t="s">
        <v>97</v>
      </c>
      <c r="M195" s="49">
        <f t="shared" ref="M195:R195" si="114">IF(F196=0,,F195/F196)</f>
        <v>0.91281566934268821</v>
      </c>
      <c r="N195" s="49">
        <f t="shared" si="114"/>
        <v>0.79937748925142316</v>
      </c>
      <c r="O195" s="49">
        <f t="shared" si="114"/>
        <v>0.79752174880239368</v>
      </c>
      <c r="P195" s="49">
        <f t="shared" si="114"/>
        <v>0.78475605265752757</v>
      </c>
      <c r="Q195" s="49">
        <f t="shared" si="114"/>
        <v>0.80780759318904194</v>
      </c>
      <c r="R195" s="49">
        <f t="shared" si="114"/>
        <v>0.77509626222479377</v>
      </c>
    </row>
    <row r="196" spans="2:18" customFormat="1" ht="15" customHeight="1">
      <c r="B196" s="44"/>
      <c r="C196" s="50"/>
      <c r="D196" s="50" t="str">
        <f>+D59</f>
        <v>Earning Before Tax</v>
      </c>
      <c r="E196" s="50"/>
      <c r="F196" s="51">
        <f>F59</f>
        <v>667035</v>
      </c>
      <c r="G196" s="51">
        <f t="shared" ref="G196:K196" si="115">G59</f>
        <v>1042231</v>
      </c>
      <c r="H196" s="51">
        <f t="shared" si="115"/>
        <v>1177766</v>
      </c>
      <c r="I196" s="51">
        <f t="shared" si="115"/>
        <v>1602354</v>
      </c>
      <c r="J196" s="51">
        <f t="shared" si="115"/>
        <v>1888956</v>
      </c>
      <c r="K196" s="51">
        <f t="shared" si="115"/>
        <v>2063634</v>
      </c>
      <c r="L196" s="52"/>
      <c r="M196" s="81"/>
      <c r="N196" s="81"/>
      <c r="O196" s="53"/>
      <c r="P196" s="53"/>
      <c r="Q196" s="53"/>
      <c r="R196" s="53"/>
    </row>
    <row r="197" spans="2:18" customFormat="1" ht="15" customHeight="1">
      <c r="B197" s="44"/>
      <c r="C197" s="50"/>
      <c r="D197" s="50"/>
      <c r="E197" s="50"/>
      <c r="F197" s="51"/>
      <c r="G197" s="51"/>
      <c r="H197" s="51"/>
      <c r="I197" s="51"/>
      <c r="J197" s="51"/>
      <c r="K197" s="51"/>
      <c r="L197" s="52"/>
      <c r="M197" s="53"/>
      <c r="N197" s="53"/>
      <c r="O197" s="53"/>
      <c r="P197" s="53"/>
      <c r="Q197" s="53"/>
      <c r="R197" s="53"/>
    </row>
    <row r="198" spans="2:18" customFormat="1" ht="15" customHeight="1">
      <c r="B198" s="44" t="s">
        <v>122</v>
      </c>
      <c r="C198" s="45" t="s">
        <v>97</v>
      </c>
      <c r="D198" s="46" t="str">
        <f>+D64</f>
        <v>Earning Before Tax</v>
      </c>
      <c r="E198" s="45" t="s">
        <v>97</v>
      </c>
      <c r="F198" s="47">
        <f>F196</f>
        <v>667035</v>
      </c>
      <c r="G198" s="47">
        <f t="shared" ref="G198:K198" si="116">G196</f>
        <v>1042231</v>
      </c>
      <c r="H198" s="47">
        <f t="shared" si="116"/>
        <v>1177766</v>
      </c>
      <c r="I198" s="47">
        <f t="shared" si="116"/>
        <v>1602354</v>
      </c>
      <c r="J198" s="47">
        <f t="shared" si="116"/>
        <v>1888956</v>
      </c>
      <c r="K198" s="47">
        <f t="shared" si="116"/>
        <v>2063634</v>
      </c>
      <c r="L198" s="48" t="s">
        <v>97</v>
      </c>
      <c r="M198" s="49">
        <f t="shared" ref="M198:R198" si="117">IF(F199=0,,F198/F199)</f>
        <v>0.9314479135684034</v>
      </c>
      <c r="N198" s="49">
        <f t="shared" si="117"/>
        <v>0.96907729328453684</v>
      </c>
      <c r="O198" s="49">
        <f t="shared" si="117"/>
        <v>0.95957574740382379</v>
      </c>
      <c r="P198" s="49">
        <f t="shared" si="117"/>
        <v>0.9907164042342842</v>
      </c>
      <c r="Q198" s="49">
        <f t="shared" si="117"/>
        <v>1.0006383257113889</v>
      </c>
      <c r="R198" s="49">
        <f t="shared" si="117"/>
        <v>0.97815771324562795</v>
      </c>
    </row>
    <row r="199" spans="2:18" customFormat="1" ht="15" customHeight="1">
      <c r="B199" s="44"/>
      <c r="C199" s="50"/>
      <c r="D199" s="50" t="str">
        <f>+D65</f>
        <v>EBIT</v>
      </c>
      <c r="E199" s="50"/>
      <c r="F199" s="51">
        <f>F36</f>
        <v>716127</v>
      </c>
      <c r="G199" s="51">
        <f t="shared" ref="G199:K199" si="118">G36</f>
        <v>1075488</v>
      </c>
      <c r="H199" s="51">
        <f t="shared" si="118"/>
        <v>1227382</v>
      </c>
      <c r="I199" s="51">
        <f t="shared" si="118"/>
        <v>1617369</v>
      </c>
      <c r="J199" s="51">
        <f t="shared" si="118"/>
        <v>1887751</v>
      </c>
      <c r="K199" s="51">
        <f t="shared" si="118"/>
        <v>2109715</v>
      </c>
      <c r="L199" s="52"/>
      <c r="M199" s="81"/>
      <c r="N199" s="81"/>
      <c r="O199" s="53"/>
      <c r="P199" s="53"/>
      <c r="Q199" s="53"/>
      <c r="R199" s="53"/>
    </row>
    <row r="200" spans="2:18" customFormat="1" ht="15" customHeight="1">
      <c r="B200" s="44"/>
      <c r="C200" s="50"/>
      <c r="D200" s="50"/>
      <c r="E200" s="50"/>
      <c r="F200" s="51"/>
      <c r="G200" s="51"/>
      <c r="H200" s="51"/>
      <c r="I200" s="51"/>
      <c r="J200" s="51"/>
      <c r="K200" s="51"/>
      <c r="L200" s="52"/>
      <c r="M200" s="53"/>
      <c r="N200" s="53"/>
      <c r="O200" s="53"/>
      <c r="P200" s="53"/>
      <c r="Q200" s="53"/>
      <c r="R200" s="53"/>
    </row>
    <row r="201" spans="2:18" customFormat="1" ht="15" customHeight="1">
      <c r="B201" s="44" t="s">
        <v>111</v>
      </c>
      <c r="C201" s="45" t="s">
        <v>97</v>
      </c>
      <c r="D201" s="46" t="str">
        <f>+D36</f>
        <v>EBIT</v>
      </c>
      <c r="E201" s="45" t="s">
        <v>97</v>
      </c>
      <c r="F201" s="47">
        <f t="shared" ref="F201:F202" si="119">+F36</f>
        <v>716127</v>
      </c>
      <c r="G201" s="47">
        <f t="shared" ref="G201:K201" si="120">+G36</f>
        <v>1075488</v>
      </c>
      <c r="H201" s="47">
        <f t="shared" si="120"/>
        <v>1227382</v>
      </c>
      <c r="I201" s="47">
        <f t="shared" si="120"/>
        <v>1617369</v>
      </c>
      <c r="J201" s="47">
        <f t="shared" si="120"/>
        <v>1887751</v>
      </c>
      <c r="K201" s="47">
        <f t="shared" si="120"/>
        <v>2109715</v>
      </c>
      <c r="L201" s="48" t="s">
        <v>97</v>
      </c>
      <c r="M201" s="49">
        <f t="shared" ref="M201:R201" si="121">IF(F202=0,,F201/F202)</f>
        <v>0.2069856841022143</v>
      </c>
      <c r="N201" s="49">
        <f t="shared" si="121"/>
        <v>0.25181800344377547</v>
      </c>
      <c r="O201" s="49">
        <f t="shared" si="121"/>
        <v>0.2408873041461721</v>
      </c>
      <c r="P201" s="49">
        <f t="shared" si="121"/>
        <v>0.27090945514565307</v>
      </c>
      <c r="Q201" s="49">
        <f t="shared" si="121"/>
        <v>0.28273848572371729</v>
      </c>
      <c r="R201" s="49">
        <f t="shared" si="121"/>
        <v>0.29523978388327188</v>
      </c>
    </row>
    <row r="202" spans="2:18" customFormat="1" ht="15" customHeight="1">
      <c r="B202" s="44"/>
      <c r="C202" s="50"/>
      <c r="D202" s="50" t="str">
        <f>+D37</f>
        <v>Revenue</v>
      </c>
      <c r="E202" s="50"/>
      <c r="F202" s="51">
        <f t="shared" si="119"/>
        <v>3459790</v>
      </c>
      <c r="G202" s="51">
        <f t="shared" ref="G202:K202" si="122">+G37</f>
        <v>4270894</v>
      </c>
      <c r="H202" s="51">
        <f t="shared" si="122"/>
        <v>5095254</v>
      </c>
      <c r="I202" s="51">
        <f t="shared" si="122"/>
        <v>5970146</v>
      </c>
      <c r="J202" s="51">
        <f t="shared" si="122"/>
        <v>6676668</v>
      </c>
      <c r="K202" s="51">
        <f t="shared" si="122"/>
        <v>7145768</v>
      </c>
      <c r="L202" s="52"/>
      <c r="M202" s="82"/>
      <c r="N202" s="82"/>
      <c r="O202" s="55"/>
      <c r="P202" s="55"/>
      <c r="Q202" s="55"/>
      <c r="R202" s="55"/>
    </row>
    <row r="203" spans="2:18" customFormat="1" ht="15" customHeight="1">
      <c r="B203" s="44"/>
      <c r="C203" s="50"/>
      <c r="D203" s="50"/>
      <c r="E203" s="50"/>
      <c r="F203" s="51"/>
      <c r="G203" s="51"/>
      <c r="H203" s="51"/>
      <c r="I203" s="51"/>
      <c r="J203" s="51"/>
      <c r="K203" s="51"/>
      <c r="L203" s="52"/>
      <c r="M203" s="55"/>
      <c r="N203" s="55"/>
      <c r="O203" s="55"/>
      <c r="P203" s="55"/>
      <c r="Q203" s="55"/>
      <c r="R203" s="55"/>
    </row>
    <row r="204" spans="2:18" customFormat="1" ht="15" customHeight="1">
      <c r="B204" s="44" t="s">
        <v>124</v>
      </c>
      <c r="C204" s="45" t="s">
        <v>97</v>
      </c>
      <c r="D204" s="46" t="str">
        <f>+D180</f>
        <v>Revenue</v>
      </c>
      <c r="E204" s="45" t="s">
        <v>97</v>
      </c>
      <c r="F204" s="47">
        <f>+F180</f>
        <v>3459790</v>
      </c>
      <c r="G204" s="47">
        <f t="shared" ref="G204:K204" si="123">+G180</f>
        <v>4270894</v>
      </c>
      <c r="H204" s="47">
        <f t="shared" si="123"/>
        <v>5095254</v>
      </c>
      <c r="I204" s="47">
        <f t="shared" si="123"/>
        <v>5970146</v>
      </c>
      <c r="J204" s="47">
        <f t="shared" si="123"/>
        <v>6676668</v>
      </c>
      <c r="K204" s="47">
        <f t="shared" si="123"/>
        <v>7145768</v>
      </c>
      <c r="L204" s="51" t="str">
        <f t="shared" ref="L204" si="124">+L180</f>
        <v>=</v>
      </c>
      <c r="M204" s="66">
        <f t="shared" ref="M204:R204" si="125">IF(F205=0,,F204/F205)</f>
        <v>0.55250144241970711</v>
      </c>
      <c r="N204" s="66">
        <f t="shared" si="125"/>
        <v>0.62226136645926533</v>
      </c>
      <c r="O204" s="66">
        <f t="shared" si="125"/>
        <v>0.6561125588363268</v>
      </c>
      <c r="P204" s="66">
        <f t="shared" si="125"/>
        <v>0.74151219080815645</v>
      </c>
      <c r="Q204" s="66">
        <f t="shared" si="125"/>
        <v>0.70301835941029023</v>
      </c>
      <c r="R204" s="66">
        <f t="shared" si="125"/>
        <v>0.74215899044820965</v>
      </c>
    </row>
    <row r="205" spans="2:18" customFormat="1" ht="15" customHeight="1">
      <c r="B205" s="44"/>
      <c r="C205" s="50"/>
      <c r="D205" s="50" t="str">
        <f>+D181</f>
        <v>Total Assets</v>
      </c>
      <c r="E205" s="50"/>
      <c r="F205" s="51">
        <f>+F181</f>
        <v>6262047</v>
      </c>
      <c r="G205" s="51">
        <f t="shared" ref="G205:K205" si="126">+G181</f>
        <v>6863505</v>
      </c>
      <c r="H205" s="51">
        <f t="shared" si="126"/>
        <v>7765823</v>
      </c>
      <c r="I205" s="51">
        <f t="shared" si="126"/>
        <v>8051312</v>
      </c>
      <c r="J205" s="51">
        <f t="shared" si="126"/>
        <v>9497146</v>
      </c>
      <c r="K205" s="51">
        <f t="shared" si="126"/>
        <v>9628352</v>
      </c>
      <c r="L205" s="52"/>
      <c r="M205" s="67"/>
      <c r="N205" s="67"/>
      <c r="O205" s="67"/>
      <c r="P205" s="67"/>
      <c r="Q205" s="67"/>
      <c r="R205" s="67"/>
    </row>
    <row r="206" spans="2:18" customFormat="1" ht="15" customHeight="1">
      <c r="B206" s="44"/>
      <c r="C206" s="50"/>
      <c r="D206" s="50"/>
      <c r="E206" s="50"/>
      <c r="L206" s="52"/>
      <c r="M206" s="79"/>
      <c r="N206" s="80"/>
      <c r="O206" s="80"/>
      <c r="P206" s="80"/>
      <c r="Q206" s="80"/>
      <c r="R206" s="80"/>
    </row>
    <row r="207" spans="2:18" customFormat="1" ht="15" customHeight="1">
      <c r="B207" s="44" t="s">
        <v>183</v>
      </c>
      <c r="C207" s="45" t="s">
        <v>97</v>
      </c>
      <c r="D207" s="46" t="str">
        <f>+D205</f>
        <v>Total Assets</v>
      </c>
      <c r="E207" s="45" t="s">
        <v>97</v>
      </c>
      <c r="F207" s="47">
        <f>+F205</f>
        <v>6262047</v>
      </c>
      <c r="G207" s="47">
        <f t="shared" ref="G207:K207" si="127">+G205</f>
        <v>6863505</v>
      </c>
      <c r="H207" s="47">
        <f t="shared" si="127"/>
        <v>7765823</v>
      </c>
      <c r="I207" s="47">
        <f t="shared" si="127"/>
        <v>8051312</v>
      </c>
      <c r="J207" s="47">
        <f t="shared" si="127"/>
        <v>9497146</v>
      </c>
      <c r="K207" s="47">
        <f t="shared" si="127"/>
        <v>9628352</v>
      </c>
      <c r="L207" s="48" t="s">
        <v>97</v>
      </c>
      <c r="M207" s="66">
        <f t="shared" ref="M207:R207" si="128">IF(F208=0,,F207/F208)</f>
        <v>3.4999066624040633</v>
      </c>
      <c r="N207" s="66">
        <f t="shared" si="128"/>
        <v>3.1036697753837359</v>
      </c>
      <c r="O207" s="66">
        <f t="shared" si="128"/>
        <v>2.9840006885721233</v>
      </c>
      <c r="P207" s="66">
        <f t="shared" si="128"/>
        <v>2.6220459568126588</v>
      </c>
      <c r="Q207" s="66">
        <f t="shared" si="128"/>
        <v>2.6803579099117814</v>
      </c>
      <c r="R207" s="66">
        <f t="shared" si="128"/>
        <v>2.4595112525934022</v>
      </c>
    </row>
    <row r="208" spans="2:18" customFormat="1" ht="15" customHeight="1">
      <c r="B208" s="44"/>
      <c r="C208" s="50"/>
      <c r="D208" s="50" t="s">
        <v>89</v>
      </c>
      <c r="E208" s="50"/>
      <c r="F208" s="51">
        <f>+F184</f>
        <v>1789204</v>
      </c>
      <c r="G208" s="51">
        <f t="shared" ref="G208:K208" si="129">+G184</f>
        <v>2211416</v>
      </c>
      <c r="H208" s="51">
        <f t="shared" si="129"/>
        <v>2602487</v>
      </c>
      <c r="I208" s="51">
        <f t="shared" si="129"/>
        <v>3070622</v>
      </c>
      <c r="J208" s="51">
        <f t="shared" si="129"/>
        <v>3543238</v>
      </c>
      <c r="K208" s="51">
        <f t="shared" si="129"/>
        <v>3914742</v>
      </c>
      <c r="L208" s="52"/>
      <c r="M208" s="67"/>
      <c r="N208" s="67"/>
      <c r="O208" s="67"/>
      <c r="P208" s="67"/>
      <c r="Q208" s="67"/>
      <c r="R208" s="67"/>
    </row>
    <row r="209" spans="2:18" customFormat="1" ht="15" customHeight="1">
      <c r="M209" s="64"/>
      <c r="N209" s="64"/>
      <c r="O209" s="64"/>
      <c r="P209" s="64"/>
      <c r="Q209" s="64"/>
      <c r="R209" s="64"/>
    </row>
    <row r="210" spans="2:18" customFormat="1" ht="15" customHeight="1">
      <c r="B210" s="71" t="s">
        <v>184</v>
      </c>
      <c r="C210" s="45" t="s">
        <v>97</v>
      </c>
      <c r="D210" s="50" t="s">
        <v>187</v>
      </c>
      <c r="E210" s="45" t="s">
        <v>97</v>
      </c>
      <c r="L210" s="48" t="s">
        <v>97</v>
      </c>
      <c r="M210" s="49">
        <f>+M195*M198*M201*M204*M207</f>
        <v>0.34030775696902082</v>
      </c>
      <c r="N210" s="49">
        <f t="shared" ref="N210:R210" si="130">+N195*N198*N201*N204*N207</f>
        <v>0.37674322696408091</v>
      </c>
      <c r="O210" s="49">
        <f t="shared" si="130"/>
        <v>0.36092168760112925</v>
      </c>
      <c r="P210" s="49">
        <f t="shared" si="130"/>
        <v>0.40951214444500172</v>
      </c>
      <c r="Q210" s="49">
        <f t="shared" si="130"/>
        <v>0.43065495459238134</v>
      </c>
      <c r="R210" s="49">
        <f t="shared" si="130"/>
        <v>0.40858759019112889</v>
      </c>
    </row>
    <row r="211" spans="2:18" customFormat="1" ht="15" customHeight="1">
      <c r="B211" s="71" t="s">
        <v>109</v>
      </c>
      <c r="C211" s="50"/>
      <c r="D211" s="50" t="s">
        <v>188</v>
      </c>
      <c r="E211" s="50"/>
      <c r="M211" s="57" t="str">
        <f>IF(ABS(M210-M$8)&lt;0.0001, "OK", "Error")</f>
        <v>OK</v>
      </c>
      <c r="N211" s="57" t="str">
        <f t="shared" ref="N211:R211" si="131">IF(ABS(N210-N$8)&lt;0.0001, "OK", "Error")</f>
        <v>OK</v>
      </c>
      <c r="O211" s="57" t="str">
        <f t="shared" si="131"/>
        <v>OK</v>
      </c>
      <c r="P211" s="57" t="str">
        <f t="shared" si="131"/>
        <v>OK</v>
      </c>
      <c r="Q211" s="57" t="str">
        <f t="shared" si="131"/>
        <v>OK</v>
      </c>
      <c r="R211" s="57" t="str">
        <f t="shared" si="131"/>
        <v>OK</v>
      </c>
    </row>
    <row r="212" spans="2:18" customFormat="1" ht="15" customHeight="1"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3"/>
      <c r="N212" s="63"/>
      <c r="O212" s="63"/>
      <c r="P212" s="63"/>
      <c r="Q212" s="63"/>
      <c r="R212" s="63"/>
    </row>
    <row r="213" spans="2:18" customFormat="1" ht="15" customHeight="1">
      <c r="M213" s="64"/>
      <c r="N213" s="64"/>
      <c r="O213" s="64"/>
      <c r="P213" s="64"/>
      <c r="Q213" s="64"/>
      <c r="R213" s="64"/>
    </row>
    <row r="214" spans="2:18" customFormat="1" ht="15" customHeight="1">
      <c r="M214" s="64"/>
      <c r="N214" s="64"/>
      <c r="O214" s="64"/>
      <c r="P214" s="64"/>
      <c r="Q214" s="64"/>
      <c r="R214" s="64"/>
    </row>
    <row r="215" spans="2:18" customFormat="1" ht="15" customHeight="1">
      <c r="M215" s="64"/>
      <c r="N215" s="64"/>
      <c r="O215" s="64"/>
      <c r="P215" s="64"/>
      <c r="Q215" s="64"/>
      <c r="R215" s="64"/>
    </row>
    <row r="216" spans="2:18" customFormat="1" ht="15" customHeight="1">
      <c r="M216" s="64"/>
      <c r="N216" s="64"/>
      <c r="O216" s="64"/>
      <c r="P216" s="64"/>
      <c r="Q216" s="64"/>
      <c r="R216" s="64"/>
    </row>
    <row r="217" spans="2:18" customFormat="1" ht="15" customHeight="1">
      <c r="M217" s="64"/>
      <c r="N217" s="64"/>
      <c r="O217" s="64"/>
      <c r="P217" s="64"/>
      <c r="Q217" s="64"/>
      <c r="R217" s="64"/>
    </row>
    <row r="218" spans="2:18" customFormat="1" ht="15" customHeight="1">
      <c r="M218" s="64"/>
      <c r="N218" s="64"/>
      <c r="O218" s="64"/>
      <c r="P218" s="64"/>
      <c r="Q218" s="64"/>
      <c r="R218" s="64"/>
    </row>
    <row r="219" spans="2:18" customFormat="1" ht="15" customHeight="1">
      <c r="M219" s="64"/>
      <c r="N219" s="64"/>
      <c r="O219" s="64"/>
      <c r="P219" s="64"/>
      <c r="Q219" s="64"/>
      <c r="R219" s="64"/>
    </row>
    <row r="220" spans="2:18" customFormat="1" ht="15" customHeight="1">
      <c r="M220" s="64"/>
      <c r="N220" s="64"/>
      <c r="O220" s="64"/>
      <c r="P220" s="64"/>
      <c r="Q220" s="64"/>
      <c r="R220" s="64"/>
    </row>
    <row r="221" spans="2:18" customFormat="1" ht="15" customHeight="1">
      <c r="M221" s="64"/>
      <c r="N221" s="64"/>
      <c r="O221" s="64"/>
      <c r="P221" s="64"/>
      <c r="Q221" s="64"/>
      <c r="R221" s="64"/>
    </row>
    <row r="222" spans="2:18" customFormat="1" ht="15" customHeight="1">
      <c r="M222" s="64"/>
      <c r="N222" s="64"/>
      <c r="O222" s="64"/>
      <c r="P222" s="64"/>
      <c r="Q222" s="64"/>
      <c r="R222" s="64"/>
    </row>
    <row r="223" spans="2:18" customFormat="1" ht="15" customHeight="1">
      <c r="M223" s="64"/>
      <c r="N223" s="64"/>
      <c r="O223" s="64"/>
      <c r="P223" s="64"/>
      <c r="Q223" s="64"/>
      <c r="R223" s="64"/>
    </row>
    <row r="224" spans="2:18" customFormat="1" ht="15" customHeight="1">
      <c r="M224" s="64"/>
      <c r="N224" s="64"/>
      <c r="O224" s="64"/>
      <c r="P224" s="64"/>
      <c r="Q224" s="64"/>
      <c r="R224" s="64"/>
    </row>
    <row r="225" spans="13:18" customFormat="1" ht="15" customHeight="1">
      <c r="M225" s="64"/>
      <c r="N225" s="64"/>
      <c r="O225" s="64"/>
      <c r="P225" s="64"/>
      <c r="Q225" s="64"/>
      <c r="R225" s="64"/>
    </row>
    <row r="226" spans="13:18" customFormat="1" ht="15" customHeight="1">
      <c r="M226" s="64"/>
      <c r="N226" s="64"/>
      <c r="O226" s="64"/>
      <c r="P226" s="64"/>
      <c r="Q226" s="64"/>
      <c r="R226" s="64"/>
    </row>
    <row r="227" spans="13:18" customFormat="1" ht="15" customHeight="1">
      <c r="M227" s="64"/>
      <c r="N227" s="64"/>
      <c r="O227" s="64"/>
      <c r="P227" s="64"/>
      <c r="Q227" s="64"/>
      <c r="R227" s="64"/>
    </row>
    <row r="228" spans="13:18" customFormat="1" ht="15" customHeight="1">
      <c r="M228" s="64"/>
      <c r="N228" s="64"/>
      <c r="O228" s="64"/>
      <c r="P228" s="64"/>
      <c r="Q228" s="64"/>
      <c r="R228" s="64"/>
    </row>
    <row r="229" spans="13:18" customFormat="1" ht="15" customHeight="1">
      <c r="M229" s="64"/>
      <c r="N229" s="64"/>
      <c r="O229" s="64"/>
      <c r="P229" s="64"/>
      <c r="Q229" s="64"/>
      <c r="R229" s="64"/>
    </row>
    <row r="230" spans="13:18" customFormat="1" ht="15" customHeight="1">
      <c r="M230" s="64"/>
      <c r="N230" s="64"/>
      <c r="O230" s="64"/>
      <c r="P230" s="64"/>
      <c r="Q230" s="64"/>
      <c r="R230" s="64"/>
    </row>
    <row r="231" spans="13:18" customFormat="1" ht="15" customHeight="1">
      <c r="M231" s="64"/>
      <c r="N231" s="64"/>
      <c r="O231" s="64"/>
      <c r="P231" s="64"/>
      <c r="Q231" s="64"/>
      <c r="R231" s="64"/>
    </row>
    <row r="232" spans="13:18" customFormat="1" ht="15" customHeight="1">
      <c r="M232" s="64"/>
      <c r="N232" s="64"/>
      <c r="O232" s="64"/>
      <c r="P232" s="64"/>
      <c r="Q232" s="64"/>
      <c r="R232" s="64"/>
    </row>
    <row r="233" spans="13:18" customFormat="1" ht="15" customHeight="1">
      <c r="M233" s="64"/>
      <c r="N233" s="64"/>
      <c r="O233" s="64"/>
      <c r="P233" s="64"/>
      <c r="Q233" s="64"/>
      <c r="R233" s="64"/>
    </row>
    <row r="234" spans="13:18" customFormat="1" ht="15" customHeight="1">
      <c r="M234" s="64"/>
      <c r="N234" s="64"/>
      <c r="O234" s="64"/>
      <c r="P234" s="64"/>
      <c r="Q234" s="64"/>
      <c r="R234" s="64"/>
    </row>
    <row r="235" spans="13:18" customFormat="1" ht="15" customHeight="1">
      <c r="M235" s="64"/>
      <c r="N235" s="64"/>
      <c r="O235" s="64"/>
      <c r="P235" s="64"/>
      <c r="Q235" s="64"/>
      <c r="R235" s="64"/>
    </row>
    <row r="236" spans="13:18" customFormat="1" ht="15" customHeight="1">
      <c r="M236" s="64"/>
      <c r="N236" s="64"/>
      <c r="O236" s="64"/>
      <c r="P236" s="64"/>
      <c r="Q236" s="64"/>
      <c r="R236" s="64"/>
    </row>
    <row r="237" spans="13:18" customFormat="1" ht="15" customHeight="1">
      <c r="M237" s="64"/>
      <c r="N237" s="64"/>
      <c r="O237" s="64"/>
      <c r="P237" s="64"/>
      <c r="Q237" s="64"/>
      <c r="R237" s="64"/>
    </row>
    <row r="238" spans="13:18" customFormat="1" ht="15" customHeight="1">
      <c r="M238" s="64"/>
      <c r="N238" s="64"/>
      <c r="O238" s="64"/>
      <c r="P238" s="64"/>
      <c r="Q238" s="64"/>
      <c r="R238" s="64"/>
    </row>
    <row r="239" spans="13:18" customFormat="1" ht="15" customHeight="1">
      <c r="M239" s="64"/>
      <c r="N239" s="64"/>
      <c r="O239" s="64"/>
      <c r="P239" s="64"/>
      <c r="Q239" s="64"/>
      <c r="R239" s="64"/>
    </row>
    <row r="240" spans="13:18" customFormat="1" ht="15" customHeight="1">
      <c r="M240" s="64"/>
      <c r="N240" s="64"/>
      <c r="O240" s="64"/>
      <c r="P240" s="64"/>
      <c r="Q240" s="64"/>
      <c r="R240" s="64"/>
    </row>
    <row r="241" spans="13:18" customFormat="1" ht="15" customHeight="1">
      <c r="M241" s="64"/>
      <c r="N241" s="64"/>
      <c r="O241" s="64"/>
      <c r="P241" s="64"/>
      <c r="Q241" s="64"/>
      <c r="R241" s="64"/>
    </row>
    <row r="242" spans="13:18" customFormat="1" ht="15" customHeight="1">
      <c r="M242" s="64"/>
      <c r="N242" s="64"/>
      <c r="O242" s="64"/>
      <c r="P242" s="64"/>
      <c r="Q242" s="64"/>
      <c r="R242" s="64"/>
    </row>
    <row r="243" spans="13:18" customFormat="1" ht="15" customHeight="1">
      <c r="M243" s="64"/>
      <c r="N243" s="64"/>
      <c r="O243" s="64"/>
      <c r="P243" s="64"/>
      <c r="Q243" s="64"/>
      <c r="R243" s="64"/>
    </row>
    <row r="244" spans="13:18" customFormat="1" ht="15" customHeight="1">
      <c r="M244" s="64"/>
      <c r="N244" s="64"/>
      <c r="O244" s="64"/>
      <c r="P244" s="64"/>
      <c r="Q244" s="64"/>
      <c r="R244" s="64"/>
    </row>
    <row r="245" spans="13:18" customFormat="1" ht="15" customHeight="1">
      <c r="M245" s="64"/>
      <c r="N245" s="64"/>
      <c r="O245" s="64"/>
      <c r="P245" s="64"/>
      <c r="Q245" s="64"/>
      <c r="R245" s="64"/>
    </row>
    <row r="246" spans="13:18" customFormat="1" ht="15" customHeight="1">
      <c r="M246" s="64"/>
      <c r="N246" s="64"/>
      <c r="O246" s="64"/>
      <c r="P246" s="64"/>
      <c r="Q246" s="64"/>
      <c r="R246" s="64"/>
    </row>
    <row r="247" spans="13:18" customFormat="1" ht="15" customHeight="1">
      <c r="M247" s="64"/>
      <c r="N247" s="64"/>
      <c r="O247" s="64"/>
      <c r="P247" s="64"/>
      <c r="Q247" s="64"/>
      <c r="R247" s="64"/>
    </row>
    <row r="248" spans="13:18" customFormat="1" ht="15" customHeight="1">
      <c r="M248" s="64"/>
      <c r="N248" s="64"/>
      <c r="O248" s="64"/>
      <c r="P248" s="64"/>
      <c r="Q248" s="64"/>
      <c r="R248" s="64"/>
    </row>
    <row r="249" spans="13:18" customFormat="1" ht="15" customHeight="1">
      <c r="M249" s="64"/>
      <c r="N249" s="64"/>
      <c r="O249" s="64"/>
      <c r="P249" s="64"/>
      <c r="Q249" s="64"/>
      <c r="R249" s="64"/>
    </row>
    <row r="250" spans="13:18" customFormat="1" ht="15" customHeight="1">
      <c r="M250" s="64"/>
      <c r="N250" s="64"/>
      <c r="O250" s="64"/>
      <c r="P250" s="64"/>
      <c r="Q250" s="64"/>
      <c r="R250" s="64"/>
    </row>
    <row r="251" spans="13:18" customFormat="1" ht="15" customHeight="1">
      <c r="M251" s="64"/>
      <c r="N251" s="64"/>
      <c r="O251" s="64"/>
      <c r="P251" s="64"/>
      <c r="Q251" s="64"/>
      <c r="R251" s="64"/>
    </row>
    <row r="252" spans="13:18" customFormat="1" ht="15" customHeight="1">
      <c r="M252" s="64"/>
      <c r="N252" s="64"/>
      <c r="O252" s="64"/>
      <c r="P252" s="64"/>
      <c r="Q252" s="64"/>
      <c r="R252" s="64"/>
    </row>
    <row r="253" spans="13:18" customFormat="1" ht="15" customHeight="1">
      <c r="M253" s="64"/>
      <c r="N253" s="64"/>
      <c r="O253" s="64"/>
      <c r="P253" s="64"/>
      <c r="Q253" s="64"/>
      <c r="R253" s="64"/>
    </row>
    <row r="254" spans="13:18" customFormat="1" ht="15" customHeight="1">
      <c r="M254" s="64"/>
      <c r="N254" s="64"/>
      <c r="O254" s="64"/>
      <c r="P254" s="64"/>
      <c r="Q254" s="64"/>
      <c r="R254" s="64"/>
    </row>
    <row r="255" spans="13:18" customFormat="1" ht="15" customHeight="1">
      <c r="M255" s="64"/>
      <c r="N255" s="64"/>
      <c r="O255" s="64"/>
      <c r="P255" s="64"/>
      <c r="Q255" s="64"/>
      <c r="R255" s="64"/>
    </row>
    <row r="256" spans="13:18" customFormat="1" ht="15" customHeight="1">
      <c r="M256" s="64"/>
      <c r="N256" s="64"/>
      <c r="O256" s="64"/>
      <c r="P256" s="64"/>
      <c r="Q256" s="64"/>
      <c r="R256" s="64"/>
    </row>
    <row r="257" spans="13:18" customFormat="1" ht="15" customHeight="1">
      <c r="M257" s="64"/>
      <c r="N257" s="64"/>
      <c r="O257" s="64"/>
      <c r="P257" s="64"/>
      <c r="Q257" s="64"/>
      <c r="R257" s="64"/>
    </row>
    <row r="258" spans="13:18" customFormat="1" ht="15" customHeight="1">
      <c r="M258" s="64"/>
      <c r="N258" s="64"/>
      <c r="O258" s="64"/>
      <c r="P258" s="64"/>
      <c r="Q258" s="64"/>
      <c r="R258" s="64"/>
    </row>
    <row r="259" spans="13:18" customFormat="1" ht="15" customHeight="1">
      <c r="M259" s="64"/>
      <c r="N259" s="64"/>
      <c r="O259" s="64"/>
      <c r="P259" s="64"/>
      <c r="Q259" s="64"/>
      <c r="R259" s="64"/>
    </row>
    <row r="260" spans="13:18" customFormat="1" ht="15" customHeight="1">
      <c r="M260" s="64"/>
      <c r="N260" s="64"/>
      <c r="O260" s="64"/>
      <c r="P260" s="64"/>
      <c r="Q260" s="64"/>
      <c r="R260" s="64"/>
    </row>
    <row r="261" spans="13:18" customFormat="1" ht="15" customHeight="1">
      <c r="M261" s="64"/>
      <c r="N261" s="64"/>
      <c r="O261" s="64"/>
      <c r="P261" s="64"/>
      <c r="Q261" s="64"/>
      <c r="R261" s="64"/>
    </row>
    <row r="262" spans="13:18" customFormat="1" ht="15" customHeight="1">
      <c r="M262" s="64"/>
      <c r="N262" s="64"/>
      <c r="O262" s="64"/>
      <c r="P262" s="64"/>
      <c r="Q262" s="64"/>
      <c r="R262" s="64"/>
    </row>
    <row r="263" spans="13:18" customFormat="1" ht="15" customHeight="1">
      <c r="M263" s="64"/>
      <c r="N263" s="64"/>
      <c r="O263" s="64"/>
      <c r="P263" s="64"/>
      <c r="Q263" s="64"/>
      <c r="R263" s="64"/>
    </row>
    <row r="264" spans="13:18" customFormat="1" ht="15" customHeight="1">
      <c r="M264" s="64"/>
      <c r="N264" s="64"/>
      <c r="O264" s="64"/>
      <c r="P264" s="64"/>
      <c r="Q264" s="64"/>
      <c r="R264" s="64"/>
    </row>
    <row r="265" spans="13:18" customFormat="1" ht="15" customHeight="1">
      <c r="M265" s="64"/>
      <c r="N265" s="64"/>
      <c r="O265" s="64"/>
      <c r="P265" s="64"/>
      <c r="Q265" s="64"/>
      <c r="R265" s="64"/>
    </row>
    <row r="266" spans="13:18" customFormat="1" ht="15" customHeight="1">
      <c r="M266" s="64"/>
      <c r="N266" s="64"/>
      <c r="O266" s="64"/>
      <c r="P266" s="64"/>
      <c r="Q266" s="64"/>
      <c r="R266" s="64"/>
    </row>
    <row r="267" spans="13:18" customFormat="1" ht="15" customHeight="1">
      <c r="M267" s="64"/>
      <c r="N267" s="64"/>
      <c r="O267" s="64"/>
      <c r="P267" s="64"/>
      <c r="Q267" s="64"/>
      <c r="R267" s="64"/>
    </row>
    <row r="268" spans="13:18" customFormat="1" ht="15" customHeight="1">
      <c r="M268" s="64"/>
      <c r="N268" s="64"/>
      <c r="O268" s="64"/>
      <c r="P268" s="64"/>
      <c r="Q268" s="64"/>
      <c r="R268" s="64"/>
    </row>
    <row r="269" spans="13:18" customFormat="1" ht="15" customHeight="1">
      <c r="M269" s="64"/>
      <c r="N269" s="64"/>
      <c r="O269" s="64"/>
      <c r="P269" s="64"/>
      <c r="Q269" s="64"/>
      <c r="R269" s="64"/>
    </row>
    <row r="270" spans="13:18" customFormat="1" ht="15" customHeight="1">
      <c r="M270" s="64"/>
      <c r="N270" s="64"/>
      <c r="O270" s="64"/>
      <c r="P270" s="64"/>
      <c r="Q270" s="64"/>
      <c r="R270" s="64"/>
    </row>
    <row r="271" spans="13:18" customFormat="1" ht="15" customHeight="1">
      <c r="M271" s="64"/>
      <c r="N271" s="64"/>
      <c r="O271" s="64"/>
      <c r="P271" s="64"/>
      <c r="Q271" s="64"/>
      <c r="R271" s="64"/>
    </row>
    <row r="272" spans="13:18" customFormat="1" ht="15" customHeight="1">
      <c r="M272" s="64"/>
      <c r="N272" s="64"/>
      <c r="O272" s="64"/>
      <c r="P272" s="64"/>
      <c r="Q272" s="64"/>
      <c r="R272" s="64"/>
    </row>
    <row r="273" spans="13:18" customFormat="1" ht="15" customHeight="1">
      <c r="M273" s="64"/>
      <c r="N273" s="64"/>
      <c r="O273" s="64"/>
      <c r="P273" s="64"/>
      <c r="Q273" s="64"/>
      <c r="R273" s="64"/>
    </row>
    <row r="274" spans="13:18" customFormat="1" ht="15" customHeight="1">
      <c r="M274" s="64"/>
      <c r="N274" s="64"/>
      <c r="O274" s="64"/>
      <c r="P274" s="64"/>
      <c r="Q274" s="64"/>
      <c r="R274" s="64"/>
    </row>
    <row r="275" spans="13:18" customFormat="1" ht="15" customHeight="1">
      <c r="M275" s="64"/>
      <c r="N275" s="64"/>
      <c r="O275" s="64"/>
      <c r="P275" s="64"/>
      <c r="Q275" s="64"/>
      <c r="R275" s="64"/>
    </row>
    <row r="276" spans="13:18" customFormat="1" ht="15" customHeight="1">
      <c r="M276" s="64"/>
      <c r="N276" s="64"/>
      <c r="O276" s="64"/>
      <c r="P276" s="64"/>
      <c r="Q276" s="64"/>
      <c r="R276" s="64"/>
    </row>
    <row r="277" spans="13:18" customFormat="1" ht="15" customHeight="1">
      <c r="M277" s="64"/>
      <c r="N277" s="64"/>
      <c r="O277" s="64"/>
      <c r="P277" s="64"/>
      <c r="Q277" s="64"/>
      <c r="R277" s="64"/>
    </row>
    <row r="278" spans="13:18" customFormat="1" ht="15" customHeight="1">
      <c r="M278" s="64"/>
      <c r="N278" s="64"/>
      <c r="O278" s="64"/>
      <c r="P278" s="64"/>
      <c r="Q278" s="64"/>
      <c r="R278" s="64"/>
    </row>
    <row r="279" spans="13:18" customFormat="1" ht="15" customHeight="1">
      <c r="M279" s="64"/>
      <c r="N279" s="64"/>
      <c r="O279" s="64"/>
      <c r="P279" s="64"/>
      <c r="Q279" s="64"/>
      <c r="R279" s="64"/>
    </row>
    <row r="280" spans="13:18" customFormat="1" ht="15" customHeight="1">
      <c r="M280" s="64"/>
      <c r="N280" s="64"/>
      <c r="O280" s="64"/>
      <c r="P280" s="64"/>
      <c r="Q280" s="64"/>
      <c r="R280" s="64"/>
    </row>
    <row r="281" spans="13:18" customFormat="1" ht="15" customHeight="1">
      <c r="M281" s="64"/>
      <c r="N281" s="64"/>
      <c r="O281" s="64"/>
      <c r="P281" s="64"/>
      <c r="Q281" s="64"/>
      <c r="R281" s="64"/>
    </row>
    <row r="282" spans="13:18" customFormat="1" ht="15" customHeight="1">
      <c r="M282" s="64"/>
      <c r="N282" s="64"/>
      <c r="O282" s="64"/>
      <c r="P282" s="64"/>
      <c r="Q282" s="64"/>
      <c r="R282" s="64"/>
    </row>
    <row r="283" spans="13:18" customFormat="1" ht="15" customHeight="1">
      <c r="M283" s="64"/>
      <c r="N283" s="64"/>
      <c r="O283" s="64"/>
      <c r="P283" s="64"/>
      <c r="Q283" s="64"/>
      <c r="R283" s="64"/>
    </row>
    <row r="284" spans="13:18" customFormat="1" ht="15" customHeight="1">
      <c r="M284" s="64"/>
      <c r="N284" s="64"/>
      <c r="O284" s="64"/>
      <c r="P284" s="64"/>
      <c r="Q284" s="64"/>
      <c r="R284" s="64"/>
    </row>
    <row r="285" spans="13:18" customFormat="1" ht="15" customHeight="1">
      <c r="M285" s="64"/>
      <c r="N285" s="64"/>
      <c r="O285" s="64"/>
      <c r="P285" s="64"/>
      <c r="Q285" s="64"/>
      <c r="R285" s="64"/>
    </row>
    <row r="286" spans="13:18" customFormat="1" ht="15" customHeight="1">
      <c r="M286" s="64"/>
      <c r="N286" s="64"/>
      <c r="O286" s="64"/>
      <c r="P286" s="64"/>
      <c r="Q286" s="64"/>
      <c r="R286" s="64"/>
    </row>
    <row r="287" spans="13:18" customFormat="1" ht="15" customHeight="1">
      <c r="M287" s="64"/>
      <c r="N287" s="64"/>
      <c r="O287" s="64"/>
      <c r="P287" s="64"/>
      <c r="Q287" s="64"/>
      <c r="R287" s="64"/>
    </row>
    <row r="288" spans="13:18" customFormat="1" ht="15" customHeight="1">
      <c r="M288" s="64"/>
      <c r="N288" s="64"/>
      <c r="O288" s="64"/>
      <c r="P288" s="64"/>
      <c r="Q288" s="64"/>
      <c r="R288" s="64"/>
    </row>
    <row r="289" spans="13:18" customFormat="1" ht="15" customHeight="1">
      <c r="M289" s="64"/>
      <c r="N289" s="64"/>
      <c r="O289" s="64"/>
      <c r="P289" s="64"/>
      <c r="Q289" s="64"/>
      <c r="R289" s="64"/>
    </row>
    <row r="290" spans="13:18" customFormat="1" ht="15" customHeight="1">
      <c r="M290" s="64"/>
      <c r="N290" s="64"/>
      <c r="O290" s="64"/>
      <c r="P290" s="64"/>
      <c r="Q290" s="64"/>
      <c r="R290" s="64"/>
    </row>
    <row r="291" spans="13:18" customFormat="1" ht="15" customHeight="1">
      <c r="M291" s="64"/>
      <c r="N291" s="64"/>
      <c r="O291" s="64"/>
      <c r="P291" s="64"/>
      <c r="Q291" s="64"/>
      <c r="R291" s="64"/>
    </row>
    <row r="292" spans="13:18" customFormat="1" ht="15" customHeight="1">
      <c r="M292" s="64"/>
      <c r="N292" s="64"/>
      <c r="O292" s="64"/>
      <c r="P292" s="64"/>
      <c r="Q292" s="64"/>
      <c r="R292" s="64"/>
    </row>
    <row r="293" spans="13:18" customFormat="1" ht="15" customHeight="1">
      <c r="M293" s="64"/>
      <c r="N293" s="64"/>
      <c r="O293" s="64"/>
      <c r="P293" s="64"/>
      <c r="Q293" s="64"/>
      <c r="R293" s="64"/>
    </row>
    <row r="294" spans="13:18" customFormat="1" ht="15" customHeight="1">
      <c r="M294" s="64"/>
      <c r="N294" s="64"/>
      <c r="O294" s="64"/>
      <c r="P294" s="64"/>
      <c r="Q294" s="64"/>
      <c r="R294" s="64"/>
    </row>
    <row r="295" spans="13:18" customFormat="1" ht="15" customHeight="1">
      <c r="M295" s="64"/>
      <c r="N295" s="64"/>
      <c r="O295" s="64"/>
      <c r="P295" s="64"/>
      <c r="Q295" s="64"/>
      <c r="R295" s="64"/>
    </row>
    <row r="296" spans="13:18" customFormat="1" ht="15" customHeight="1">
      <c r="M296" s="64"/>
      <c r="N296" s="64"/>
      <c r="O296" s="64"/>
      <c r="P296" s="64"/>
      <c r="Q296" s="64"/>
      <c r="R296" s="64"/>
    </row>
    <row r="297" spans="13:18" customFormat="1" ht="15" customHeight="1">
      <c r="M297" s="64"/>
      <c r="N297" s="64"/>
      <c r="O297" s="64"/>
      <c r="P297" s="64"/>
      <c r="Q297" s="64"/>
      <c r="R297" s="64"/>
    </row>
    <row r="298" spans="13:18" customFormat="1" ht="15" customHeight="1">
      <c r="M298" s="64"/>
      <c r="N298" s="64"/>
      <c r="O298" s="64"/>
      <c r="P298" s="64"/>
      <c r="Q298" s="64"/>
      <c r="R298" s="64"/>
    </row>
    <row r="299" spans="13:18" customFormat="1" ht="15" customHeight="1">
      <c r="M299" s="64"/>
      <c r="N299" s="64"/>
      <c r="O299" s="64"/>
      <c r="P299" s="64"/>
      <c r="Q299" s="64"/>
      <c r="R299" s="64"/>
    </row>
    <row r="300" spans="13:18" customFormat="1" ht="15" customHeight="1">
      <c r="M300" s="64"/>
      <c r="N300" s="64"/>
      <c r="O300" s="64"/>
      <c r="P300" s="64"/>
      <c r="Q300" s="64"/>
      <c r="R300" s="64"/>
    </row>
    <row r="301" spans="13:18" customFormat="1" ht="15" customHeight="1">
      <c r="M301" s="64"/>
      <c r="N301" s="64"/>
      <c r="O301" s="64"/>
      <c r="P301" s="64"/>
      <c r="Q301" s="64"/>
      <c r="R301" s="64"/>
    </row>
    <row r="302" spans="13:18" customFormat="1" ht="15" customHeight="1">
      <c r="M302" s="64"/>
      <c r="N302" s="64"/>
      <c r="O302" s="64"/>
      <c r="P302" s="64"/>
      <c r="Q302" s="64"/>
      <c r="R302" s="64"/>
    </row>
    <row r="303" spans="13:18" customFormat="1" ht="15" customHeight="1">
      <c r="M303" s="64"/>
      <c r="N303" s="64"/>
      <c r="O303" s="64"/>
      <c r="P303" s="64"/>
      <c r="Q303" s="64"/>
      <c r="R303" s="64"/>
    </row>
    <row r="304" spans="13:18" customFormat="1" ht="15" customHeight="1">
      <c r="M304" s="64"/>
      <c r="N304" s="64"/>
      <c r="O304" s="64"/>
      <c r="P304" s="64"/>
      <c r="Q304" s="64"/>
      <c r="R304" s="64"/>
    </row>
    <row r="305" spans="13:18" customFormat="1" ht="15" customHeight="1">
      <c r="M305" s="64"/>
      <c r="N305" s="64"/>
      <c r="O305" s="64"/>
      <c r="P305" s="64"/>
      <c r="Q305" s="64"/>
      <c r="R305" s="64"/>
    </row>
    <row r="306" spans="13:18" customFormat="1" ht="15" customHeight="1">
      <c r="M306" s="64"/>
      <c r="N306" s="64"/>
      <c r="O306" s="64"/>
      <c r="P306" s="64"/>
      <c r="Q306" s="64"/>
      <c r="R306" s="64"/>
    </row>
    <row r="307" spans="13:18" customFormat="1" ht="15" customHeight="1">
      <c r="M307" s="64"/>
      <c r="N307" s="64"/>
      <c r="O307" s="64"/>
      <c r="P307" s="64"/>
      <c r="Q307" s="64"/>
      <c r="R307" s="64"/>
    </row>
    <row r="308" spans="13:18" customFormat="1" ht="15" customHeight="1">
      <c r="M308" s="64"/>
      <c r="N308" s="64"/>
      <c r="O308" s="64"/>
      <c r="P308" s="64"/>
      <c r="Q308" s="64"/>
      <c r="R308" s="64"/>
    </row>
    <row r="309" spans="13:18" customFormat="1" ht="15" customHeight="1">
      <c r="M309" s="64"/>
      <c r="N309" s="64"/>
      <c r="O309" s="64"/>
      <c r="P309" s="64"/>
      <c r="Q309" s="64"/>
      <c r="R309" s="64"/>
    </row>
    <row r="310" spans="13:18" customFormat="1" ht="15" customHeight="1">
      <c r="M310" s="64"/>
      <c r="N310" s="64"/>
      <c r="O310" s="64"/>
      <c r="P310" s="64"/>
      <c r="Q310" s="64"/>
      <c r="R310" s="64"/>
    </row>
    <row r="311" spans="13:18" customFormat="1" ht="15" customHeight="1">
      <c r="M311" s="64"/>
      <c r="N311" s="64"/>
      <c r="O311" s="64"/>
      <c r="P311" s="64"/>
      <c r="Q311" s="64"/>
      <c r="R311" s="64"/>
    </row>
    <row r="312" spans="13:18" customFormat="1" ht="15" customHeight="1">
      <c r="M312" s="64"/>
      <c r="N312" s="64"/>
      <c r="O312" s="64"/>
      <c r="P312" s="64"/>
      <c r="Q312" s="64"/>
      <c r="R312" s="64"/>
    </row>
    <row r="313" spans="13:18" customFormat="1" ht="15" customHeight="1">
      <c r="M313" s="64"/>
      <c r="N313" s="64"/>
      <c r="O313" s="64"/>
      <c r="P313" s="64"/>
      <c r="Q313" s="64"/>
      <c r="R313" s="64"/>
    </row>
    <row r="314" spans="13:18" customFormat="1" ht="15" customHeight="1">
      <c r="M314" s="64"/>
      <c r="N314" s="64"/>
      <c r="O314" s="64"/>
      <c r="P314" s="64"/>
      <c r="Q314" s="64"/>
      <c r="R314" s="64"/>
    </row>
    <row r="315" spans="13:18" customFormat="1" ht="15" customHeight="1">
      <c r="M315" s="64"/>
      <c r="N315" s="64"/>
      <c r="O315" s="64"/>
      <c r="P315" s="64"/>
      <c r="Q315" s="64"/>
      <c r="R315" s="64"/>
    </row>
    <row r="316" spans="13:18" customFormat="1" ht="15" customHeight="1">
      <c r="M316" s="64"/>
      <c r="N316" s="64"/>
      <c r="O316" s="64"/>
      <c r="P316" s="64"/>
      <c r="Q316" s="64"/>
      <c r="R316" s="64"/>
    </row>
    <row r="317" spans="13:18" customFormat="1" ht="15" customHeight="1">
      <c r="M317" s="64"/>
      <c r="N317" s="64"/>
      <c r="O317" s="64"/>
      <c r="P317" s="64"/>
      <c r="Q317" s="64"/>
      <c r="R317" s="64"/>
    </row>
    <row r="318" spans="13:18" customFormat="1" ht="15" customHeight="1">
      <c r="M318" s="64"/>
      <c r="N318" s="64"/>
      <c r="O318" s="64"/>
      <c r="P318" s="64"/>
      <c r="Q318" s="64"/>
      <c r="R318" s="64"/>
    </row>
    <row r="319" spans="13:18" customFormat="1" ht="15" customHeight="1">
      <c r="M319" s="64"/>
      <c r="N319" s="64"/>
      <c r="O319" s="64"/>
      <c r="P319" s="64"/>
      <c r="Q319" s="64"/>
      <c r="R319" s="64"/>
    </row>
    <row r="320" spans="13:18" customFormat="1" ht="15" customHeight="1">
      <c r="M320" s="64"/>
      <c r="N320" s="64"/>
      <c r="O320" s="64"/>
      <c r="P320" s="64"/>
      <c r="Q320" s="64"/>
      <c r="R320" s="64"/>
    </row>
    <row r="321" spans="13:18" customFormat="1" ht="15" customHeight="1">
      <c r="M321" s="64"/>
      <c r="N321" s="64"/>
      <c r="O321" s="64"/>
      <c r="P321" s="64"/>
      <c r="Q321" s="64"/>
      <c r="R321" s="64"/>
    </row>
    <row r="322" spans="13:18" customFormat="1" ht="15" customHeight="1">
      <c r="M322" s="64"/>
      <c r="N322" s="64"/>
      <c r="O322" s="64"/>
      <c r="P322" s="64"/>
      <c r="Q322" s="64"/>
      <c r="R322" s="64"/>
    </row>
    <row r="323" spans="13:18" customFormat="1" ht="15" customHeight="1">
      <c r="M323" s="64"/>
      <c r="N323" s="64"/>
      <c r="O323" s="64"/>
      <c r="P323" s="64"/>
      <c r="Q323" s="64"/>
      <c r="R323" s="64"/>
    </row>
    <row r="324" spans="13:18" customFormat="1" ht="15" customHeight="1">
      <c r="M324" s="64"/>
      <c r="N324" s="64"/>
      <c r="O324" s="64"/>
      <c r="P324" s="64"/>
      <c r="Q324" s="64"/>
      <c r="R324" s="64"/>
    </row>
    <row r="325" spans="13:18" customFormat="1" ht="15" customHeight="1">
      <c r="M325" s="64"/>
      <c r="N325" s="64"/>
      <c r="O325" s="64"/>
      <c r="P325" s="64"/>
      <c r="Q325" s="64"/>
      <c r="R325" s="64"/>
    </row>
    <row r="326" spans="13:18" customFormat="1" ht="15" customHeight="1">
      <c r="M326" s="64"/>
      <c r="N326" s="64"/>
      <c r="O326" s="64"/>
      <c r="P326" s="64"/>
      <c r="Q326" s="64"/>
      <c r="R326" s="64"/>
    </row>
    <row r="327" spans="13:18" customFormat="1" ht="15" customHeight="1">
      <c r="M327" s="64"/>
      <c r="N327" s="64"/>
      <c r="O327" s="64"/>
      <c r="P327" s="64"/>
      <c r="Q327" s="64"/>
      <c r="R327" s="64"/>
    </row>
    <row r="328" spans="13:18" customFormat="1" ht="15" customHeight="1">
      <c r="M328" s="64"/>
      <c r="N328" s="64"/>
      <c r="O328" s="64"/>
      <c r="P328" s="64"/>
      <c r="Q328" s="64"/>
      <c r="R328" s="64"/>
    </row>
    <row r="329" spans="13:18" customFormat="1" ht="15" customHeight="1">
      <c r="M329" s="64"/>
      <c r="N329" s="64"/>
      <c r="O329" s="64"/>
      <c r="P329" s="64"/>
      <c r="Q329" s="64"/>
      <c r="R329" s="64"/>
    </row>
    <row r="330" spans="13:18" customFormat="1" ht="15" customHeight="1">
      <c r="M330" s="64"/>
      <c r="N330" s="64"/>
      <c r="O330" s="64"/>
      <c r="P330" s="64"/>
      <c r="Q330" s="64"/>
      <c r="R330" s="64"/>
    </row>
    <row r="331" spans="13:18" customFormat="1" ht="15" customHeight="1">
      <c r="M331" s="64"/>
      <c r="N331" s="64"/>
      <c r="O331" s="64"/>
      <c r="P331" s="64"/>
      <c r="Q331" s="64"/>
      <c r="R331" s="64"/>
    </row>
    <row r="332" spans="13:18" customFormat="1" ht="15" customHeight="1">
      <c r="M332" s="64"/>
      <c r="N332" s="64"/>
      <c r="O332" s="64"/>
      <c r="P332" s="64"/>
      <c r="Q332" s="64"/>
      <c r="R332" s="64"/>
    </row>
    <row r="333" spans="13:18" customFormat="1" ht="15" customHeight="1">
      <c r="M333" s="64"/>
      <c r="N333" s="64"/>
      <c r="O333" s="64"/>
      <c r="P333" s="64"/>
      <c r="Q333" s="64"/>
      <c r="R333" s="64"/>
    </row>
    <row r="334" spans="13:18" customFormat="1" ht="15" customHeight="1">
      <c r="M334" s="64"/>
      <c r="N334" s="64"/>
      <c r="O334" s="64"/>
      <c r="P334" s="64"/>
      <c r="Q334" s="64"/>
      <c r="R334" s="64"/>
    </row>
    <row r="335" spans="13:18" customFormat="1" ht="15" customHeight="1">
      <c r="M335" s="64"/>
      <c r="N335" s="64"/>
      <c r="O335" s="64"/>
      <c r="P335" s="64"/>
      <c r="Q335" s="64"/>
      <c r="R335" s="64"/>
    </row>
    <row r="336" spans="13:18" customFormat="1" ht="15" customHeight="1">
      <c r="M336" s="64"/>
      <c r="N336" s="64"/>
      <c r="O336" s="64"/>
      <c r="P336" s="64"/>
      <c r="Q336" s="64"/>
      <c r="R336" s="64"/>
    </row>
    <row r="337" spans="13:18" customFormat="1" ht="15" customHeight="1">
      <c r="M337" s="64"/>
      <c r="N337" s="64"/>
      <c r="O337" s="64"/>
      <c r="P337" s="64"/>
      <c r="Q337" s="64"/>
      <c r="R337" s="64"/>
    </row>
    <row r="338" spans="13:18" customFormat="1" ht="15" customHeight="1">
      <c r="M338" s="64"/>
      <c r="N338" s="64"/>
      <c r="O338" s="64"/>
      <c r="P338" s="64"/>
      <c r="Q338" s="64"/>
      <c r="R338" s="64"/>
    </row>
    <row r="339" spans="13:18" customFormat="1" ht="15" customHeight="1">
      <c r="M339" s="64"/>
      <c r="N339" s="64"/>
      <c r="O339" s="64"/>
      <c r="P339" s="64"/>
      <c r="Q339" s="64"/>
      <c r="R339" s="64"/>
    </row>
    <row r="340" spans="13:18" customFormat="1" ht="15" customHeight="1">
      <c r="M340" s="64"/>
      <c r="N340" s="64"/>
      <c r="O340" s="64"/>
      <c r="P340" s="64"/>
      <c r="Q340" s="64"/>
      <c r="R340" s="64"/>
    </row>
    <row r="341" spans="13:18" customFormat="1" ht="15" customHeight="1">
      <c r="M341" s="64"/>
      <c r="N341" s="64"/>
      <c r="O341" s="64"/>
      <c r="P341" s="64"/>
      <c r="Q341" s="64"/>
      <c r="R341" s="64"/>
    </row>
    <row r="342" spans="13:18" customFormat="1" ht="15" customHeight="1">
      <c r="M342" s="64"/>
      <c r="N342" s="64"/>
      <c r="O342" s="64"/>
      <c r="P342" s="64"/>
      <c r="Q342" s="64"/>
      <c r="R342" s="64"/>
    </row>
    <row r="343" spans="13:18" customFormat="1" ht="15" customHeight="1">
      <c r="M343" s="64"/>
      <c r="N343" s="64"/>
      <c r="O343" s="64"/>
      <c r="P343" s="64"/>
      <c r="Q343" s="64"/>
      <c r="R343" s="64"/>
    </row>
    <row r="344" spans="13:18" customFormat="1" ht="15" customHeight="1">
      <c r="M344" s="64"/>
      <c r="N344" s="64"/>
      <c r="O344" s="64"/>
      <c r="P344" s="64"/>
      <c r="Q344" s="64"/>
      <c r="R344" s="64"/>
    </row>
    <row r="345" spans="13:18" customFormat="1" ht="15" customHeight="1">
      <c r="M345" s="64"/>
      <c r="N345" s="64"/>
      <c r="O345" s="64"/>
      <c r="P345" s="64"/>
      <c r="Q345" s="64"/>
      <c r="R345" s="64"/>
    </row>
    <row r="346" spans="13:18" customFormat="1" ht="15" customHeight="1">
      <c r="M346" s="64"/>
      <c r="N346" s="64"/>
      <c r="O346" s="64"/>
      <c r="P346" s="64"/>
      <c r="Q346" s="64"/>
      <c r="R346" s="64"/>
    </row>
    <row r="347" spans="13:18" customFormat="1" ht="15" customHeight="1">
      <c r="M347" s="64"/>
      <c r="N347" s="64"/>
      <c r="O347" s="64"/>
      <c r="P347" s="64"/>
      <c r="Q347" s="64"/>
      <c r="R347" s="64"/>
    </row>
    <row r="348" spans="13:18" customFormat="1" ht="15" customHeight="1">
      <c r="M348" s="64"/>
      <c r="N348" s="64"/>
      <c r="O348" s="64"/>
      <c r="P348" s="64"/>
      <c r="Q348" s="64"/>
      <c r="R348" s="64"/>
    </row>
    <row r="349" spans="13:18" customFormat="1" ht="15" customHeight="1">
      <c r="M349" s="64"/>
      <c r="N349" s="64"/>
      <c r="O349" s="64"/>
      <c r="P349" s="64"/>
      <c r="Q349" s="64"/>
      <c r="R349" s="64"/>
    </row>
    <row r="350" spans="13:18" customFormat="1" ht="15" customHeight="1">
      <c r="M350" s="64"/>
      <c r="N350" s="64"/>
      <c r="O350" s="64"/>
      <c r="P350" s="64"/>
      <c r="Q350" s="64"/>
      <c r="R350" s="64"/>
    </row>
    <row r="351" spans="13:18" customFormat="1" ht="15" customHeight="1">
      <c r="M351" s="64"/>
      <c r="N351" s="64"/>
      <c r="O351" s="64"/>
      <c r="P351" s="64"/>
      <c r="Q351" s="64"/>
      <c r="R351" s="64"/>
    </row>
    <row r="352" spans="13:18" customFormat="1" ht="15" customHeight="1">
      <c r="M352" s="64"/>
      <c r="N352" s="64"/>
      <c r="O352" s="64"/>
      <c r="P352" s="64"/>
      <c r="Q352" s="64"/>
      <c r="R352" s="64"/>
    </row>
    <row r="353" spans="13:18" customFormat="1" ht="15" customHeight="1">
      <c r="M353" s="64"/>
      <c r="N353" s="64"/>
      <c r="O353" s="64"/>
      <c r="P353" s="64"/>
      <c r="Q353" s="64"/>
      <c r="R353" s="64"/>
    </row>
    <row r="354" spans="13:18" customFormat="1" ht="15" customHeight="1">
      <c r="M354" s="64"/>
      <c r="N354" s="64"/>
      <c r="O354" s="64"/>
      <c r="P354" s="64"/>
      <c r="Q354" s="64"/>
      <c r="R354" s="64"/>
    </row>
    <row r="355" spans="13:18" customFormat="1" ht="15" customHeight="1">
      <c r="M355" s="64"/>
      <c r="N355" s="64"/>
      <c r="O355" s="64"/>
      <c r="P355" s="64"/>
      <c r="Q355" s="64"/>
      <c r="R355" s="64"/>
    </row>
    <row r="356" spans="13:18" customFormat="1" ht="15" customHeight="1">
      <c r="M356" s="64"/>
      <c r="N356" s="64"/>
      <c r="O356" s="64"/>
      <c r="P356" s="64"/>
      <c r="Q356" s="64"/>
      <c r="R356" s="64"/>
    </row>
    <row r="357" spans="13:18" customFormat="1" ht="15" customHeight="1">
      <c r="M357" s="64"/>
      <c r="N357" s="64"/>
      <c r="O357" s="64"/>
      <c r="P357" s="64"/>
      <c r="Q357" s="64"/>
      <c r="R357" s="64"/>
    </row>
    <row r="358" spans="13:18" customFormat="1" ht="15" customHeight="1">
      <c r="M358" s="64"/>
      <c r="N358" s="64"/>
      <c r="O358" s="64"/>
      <c r="P358" s="64"/>
      <c r="Q358" s="64"/>
      <c r="R358" s="64"/>
    </row>
    <row r="359" spans="13:18" customFormat="1" ht="15" customHeight="1">
      <c r="M359" s="64"/>
      <c r="N359" s="64"/>
      <c r="O359" s="64"/>
      <c r="P359" s="64"/>
      <c r="Q359" s="64"/>
      <c r="R359" s="64"/>
    </row>
    <row r="360" spans="13:18" customFormat="1" ht="15" customHeight="1">
      <c r="M360" s="64"/>
      <c r="N360" s="64"/>
      <c r="O360" s="64"/>
      <c r="P360" s="64"/>
      <c r="Q360" s="64"/>
      <c r="R360" s="64"/>
    </row>
    <row r="361" spans="13:18" customFormat="1" ht="15" customHeight="1">
      <c r="M361" s="64"/>
      <c r="N361" s="64"/>
      <c r="O361" s="64"/>
      <c r="P361" s="64"/>
      <c r="Q361" s="64"/>
      <c r="R361" s="64"/>
    </row>
    <row r="362" spans="13:18" customFormat="1" ht="15" customHeight="1">
      <c r="M362" s="64"/>
      <c r="N362" s="64"/>
      <c r="O362" s="64"/>
      <c r="P362" s="64"/>
      <c r="Q362" s="64"/>
      <c r="R362" s="64"/>
    </row>
    <row r="363" spans="13:18" customFormat="1" ht="15" customHeight="1">
      <c r="M363" s="64"/>
      <c r="N363" s="64"/>
      <c r="O363" s="64"/>
      <c r="P363" s="64"/>
      <c r="Q363" s="64"/>
      <c r="R363" s="64"/>
    </row>
    <row r="364" spans="13:18" customFormat="1" ht="15" customHeight="1">
      <c r="M364" s="64"/>
      <c r="N364" s="64"/>
      <c r="O364" s="64"/>
      <c r="P364" s="64"/>
      <c r="Q364" s="64"/>
      <c r="R364" s="64"/>
    </row>
    <row r="365" spans="13:18" customFormat="1" ht="15" customHeight="1">
      <c r="M365" s="64"/>
      <c r="N365" s="64"/>
      <c r="O365" s="64"/>
      <c r="P365" s="64"/>
      <c r="Q365" s="64"/>
      <c r="R365" s="64"/>
    </row>
    <row r="366" spans="13:18" customFormat="1" ht="15" customHeight="1">
      <c r="M366" s="64"/>
      <c r="N366" s="64"/>
      <c r="O366" s="64"/>
      <c r="P366" s="64"/>
      <c r="Q366" s="64"/>
      <c r="R366" s="64"/>
    </row>
    <row r="367" spans="13:18" customFormat="1" ht="15" customHeight="1">
      <c r="M367" s="64"/>
      <c r="N367" s="64"/>
      <c r="O367" s="64"/>
      <c r="P367" s="64"/>
      <c r="Q367" s="64"/>
      <c r="R367" s="64"/>
    </row>
    <row r="368" spans="13:18" customFormat="1" ht="15" customHeight="1">
      <c r="M368" s="64"/>
      <c r="N368" s="64"/>
      <c r="O368" s="64"/>
      <c r="P368" s="64"/>
      <c r="Q368" s="64"/>
      <c r="R368" s="64"/>
    </row>
    <row r="369" spans="13:18" customFormat="1" ht="15" customHeight="1">
      <c r="M369" s="64"/>
      <c r="N369" s="64"/>
      <c r="O369" s="64"/>
      <c r="P369" s="64"/>
      <c r="Q369" s="64"/>
      <c r="R369" s="64"/>
    </row>
    <row r="370" spans="13:18" customFormat="1" ht="15" customHeight="1">
      <c r="M370" s="64"/>
      <c r="N370" s="64"/>
      <c r="O370" s="64"/>
      <c r="P370" s="64"/>
      <c r="Q370" s="64"/>
      <c r="R370" s="64"/>
    </row>
    <row r="371" spans="13:18" customFormat="1" ht="15" customHeight="1">
      <c r="M371" s="64"/>
      <c r="N371" s="64"/>
      <c r="O371" s="64"/>
      <c r="P371" s="64"/>
      <c r="Q371" s="64"/>
      <c r="R371" s="64"/>
    </row>
    <row r="372" spans="13:18" customFormat="1" ht="15" customHeight="1">
      <c r="M372" s="64"/>
      <c r="N372" s="64"/>
      <c r="O372" s="64"/>
      <c r="P372" s="64"/>
      <c r="Q372" s="64"/>
      <c r="R372" s="64"/>
    </row>
    <row r="373" spans="13:18" customFormat="1" ht="15" customHeight="1">
      <c r="M373" s="64"/>
      <c r="N373" s="64"/>
      <c r="O373" s="64"/>
      <c r="P373" s="64"/>
      <c r="Q373" s="64"/>
      <c r="R373" s="64"/>
    </row>
    <row r="374" spans="13:18" customFormat="1" ht="15" customHeight="1">
      <c r="M374" s="64"/>
      <c r="N374" s="64"/>
      <c r="O374" s="64"/>
      <c r="P374" s="64"/>
      <c r="Q374" s="64"/>
      <c r="R374" s="64"/>
    </row>
    <row r="375" spans="13:18" customFormat="1" ht="15" customHeight="1">
      <c r="M375" s="64"/>
      <c r="N375" s="64"/>
      <c r="O375" s="64"/>
      <c r="P375" s="64"/>
      <c r="Q375" s="64"/>
      <c r="R375" s="64"/>
    </row>
    <row r="376" spans="13:18" customFormat="1" ht="15" customHeight="1">
      <c r="M376" s="64"/>
      <c r="N376" s="64"/>
      <c r="O376" s="64"/>
      <c r="P376" s="64"/>
      <c r="Q376" s="64"/>
      <c r="R376" s="64"/>
    </row>
    <row r="377" spans="13:18" customFormat="1" ht="15" customHeight="1">
      <c r="M377" s="64"/>
      <c r="N377" s="64"/>
      <c r="O377" s="64"/>
      <c r="P377" s="64"/>
      <c r="Q377" s="64"/>
      <c r="R377" s="64"/>
    </row>
    <row r="378" spans="13:18" customFormat="1" ht="15" customHeight="1">
      <c r="M378" s="64"/>
      <c r="N378" s="64"/>
      <c r="O378" s="64"/>
      <c r="P378" s="64"/>
      <c r="Q378" s="64"/>
      <c r="R378" s="64"/>
    </row>
    <row r="379" spans="13:18" customFormat="1" ht="15" customHeight="1">
      <c r="M379" s="64"/>
      <c r="N379" s="64"/>
      <c r="O379" s="64"/>
      <c r="P379" s="64"/>
      <c r="Q379" s="64"/>
      <c r="R379" s="64"/>
    </row>
    <row r="380" spans="13:18" customFormat="1" ht="15" customHeight="1">
      <c r="M380" s="64"/>
      <c r="N380" s="64"/>
      <c r="O380" s="64"/>
      <c r="P380" s="64"/>
      <c r="Q380" s="64"/>
      <c r="R380" s="64"/>
    </row>
    <row r="381" spans="13:18" customFormat="1" ht="15" customHeight="1">
      <c r="M381" s="64"/>
      <c r="N381" s="64"/>
      <c r="O381" s="64"/>
      <c r="P381" s="64"/>
      <c r="Q381" s="64"/>
      <c r="R381" s="64"/>
    </row>
    <row r="382" spans="13:18" customFormat="1" ht="15" customHeight="1">
      <c r="M382" s="64"/>
      <c r="N382" s="64"/>
      <c r="O382" s="64"/>
      <c r="P382" s="64"/>
      <c r="Q382" s="64"/>
      <c r="R382" s="64"/>
    </row>
    <row r="383" spans="13:18" customFormat="1" ht="15" customHeight="1">
      <c r="M383" s="64"/>
      <c r="N383" s="64"/>
      <c r="O383" s="64"/>
      <c r="P383" s="64"/>
      <c r="Q383" s="64"/>
      <c r="R383" s="64"/>
    </row>
    <row r="384" spans="13:18" customFormat="1" ht="15" customHeight="1">
      <c r="M384" s="64"/>
      <c r="N384" s="64"/>
      <c r="O384" s="64"/>
      <c r="P384" s="64"/>
      <c r="Q384" s="64"/>
      <c r="R384" s="64"/>
    </row>
    <row r="385" spans="13:18" customFormat="1" ht="15" customHeight="1">
      <c r="M385" s="64"/>
      <c r="N385" s="64"/>
      <c r="O385" s="64"/>
      <c r="P385" s="64"/>
      <c r="Q385" s="64"/>
      <c r="R385" s="64"/>
    </row>
    <row r="386" spans="13:18" customFormat="1" ht="15" customHeight="1">
      <c r="M386" s="64"/>
      <c r="N386" s="64"/>
      <c r="O386" s="64"/>
      <c r="P386" s="64"/>
      <c r="Q386" s="64"/>
      <c r="R386" s="64"/>
    </row>
    <row r="387" spans="13:18" customFormat="1" ht="15" customHeight="1">
      <c r="M387" s="64"/>
      <c r="N387" s="64"/>
      <c r="O387" s="64"/>
      <c r="P387" s="64"/>
      <c r="Q387" s="64"/>
      <c r="R387" s="64"/>
    </row>
    <row r="388" spans="13:18" customFormat="1" ht="15" customHeight="1">
      <c r="M388" s="64"/>
      <c r="N388" s="64"/>
      <c r="O388" s="64"/>
      <c r="P388" s="64"/>
      <c r="Q388" s="64"/>
      <c r="R388" s="64"/>
    </row>
    <row r="389" spans="13:18" customFormat="1" ht="15" customHeight="1">
      <c r="M389" s="64"/>
      <c r="N389" s="64"/>
      <c r="O389" s="64"/>
      <c r="P389" s="64"/>
      <c r="Q389" s="64"/>
      <c r="R389" s="64"/>
    </row>
    <row r="390" spans="13:18" customFormat="1" ht="15" customHeight="1">
      <c r="M390" s="64"/>
      <c r="N390" s="64"/>
      <c r="O390" s="64"/>
      <c r="P390" s="64"/>
      <c r="Q390" s="64"/>
      <c r="R390" s="64"/>
    </row>
    <row r="391" spans="13:18" customFormat="1" ht="15" customHeight="1">
      <c r="M391" s="64"/>
      <c r="N391" s="64"/>
      <c r="O391" s="64"/>
      <c r="P391" s="64"/>
      <c r="Q391" s="64"/>
      <c r="R391" s="64"/>
    </row>
    <row r="392" spans="13:18" customFormat="1" ht="15" customHeight="1">
      <c r="M392" s="64"/>
      <c r="N392" s="64"/>
      <c r="O392" s="64"/>
      <c r="P392" s="64"/>
      <c r="Q392" s="64"/>
      <c r="R392" s="64"/>
    </row>
    <row r="393" spans="13:18" customFormat="1" ht="15" customHeight="1">
      <c r="M393" s="64"/>
      <c r="N393" s="64"/>
      <c r="O393" s="64"/>
      <c r="P393" s="64"/>
      <c r="Q393" s="64"/>
      <c r="R393" s="64"/>
    </row>
    <row r="394" spans="13:18" customFormat="1" ht="15" customHeight="1">
      <c r="M394" s="64"/>
      <c r="N394" s="64"/>
      <c r="O394" s="64"/>
      <c r="P394" s="64"/>
      <c r="Q394" s="64"/>
      <c r="R394" s="64"/>
    </row>
    <row r="395" spans="13:18" customFormat="1" ht="15" customHeight="1">
      <c r="M395" s="64"/>
      <c r="N395" s="64"/>
      <c r="O395" s="64"/>
      <c r="P395" s="64"/>
      <c r="Q395" s="64"/>
      <c r="R395" s="64"/>
    </row>
    <row r="396" spans="13:18" customFormat="1" ht="15" customHeight="1">
      <c r="M396" s="64"/>
      <c r="N396" s="64"/>
      <c r="O396" s="64"/>
      <c r="P396" s="64"/>
      <c r="Q396" s="64"/>
      <c r="R396" s="64"/>
    </row>
    <row r="397" spans="13:18" customFormat="1" ht="15" customHeight="1">
      <c r="M397" s="64"/>
      <c r="N397" s="64"/>
      <c r="O397" s="64"/>
      <c r="P397" s="64"/>
      <c r="Q397" s="64"/>
      <c r="R397" s="64"/>
    </row>
    <row r="398" spans="13:18" customFormat="1" ht="15" customHeight="1">
      <c r="M398" s="64"/>
      <c r="N398" s="64"/>
      <c r="O398" s="64"/>
      <c r="P398" s="64"/>
      <c r="Q398" s="64"/>
      <c r="R398" s="64"/>
    </row>
    <row r="399" spans="13:18" customFormat="1" ht="15" customHeight="1">
      <c r="M399" s="64"/>
      <c r="N399" s="64"/>
      <c r="O399" s="64"/>
      <c r="P399" s="64"/>
      <c r="Q399" s="64"/>
      <c r="R399" s="64"/>
    </row>
    <row r="400" spans="13:18" customFormat="1" ht="15" customHeight="1">
      <c r="M400" s="64"/>
      <c r="N400" s="64"/>
      <c r="O400" s="64"/>
      <c r="P400" s="64"/>
      <c r="Q400" s="64"/>
      <c r="R400" s="64"/>
    </row>
    <row r="401" spans="13:18" customFormat="1" ht="15" customHeight="1">
      <c r="M401" s="64"/>
      <c r="N401" s="64"/>
      <c r="O401" s="64"/>
      <c r="P401" s="64"/>
      <c r="Q401" s="64"/>
      <c r="R401" s="64"/>
    </row>
    <row r="402" spans="13:18" customFormat="1" ht="15" customHeight="1">
      <c r="M402" s="64"/>
      <c r="N402" s="64"/>
      <c r="O402" s="64"/>
      <c r="P402" s="64"/>
      <c r="Q402" s="64"/>
      <c r="R402" s="64"/>
    </row>
    <row r="403" spans="13:18" customFormat="1" ht="15" customHeight="1">
      <c r="M403" s="64"/>
      <c r="N403" s="64"/>
      <c r="O403" s="64"/>
      <c r="P403" s="64"/>
      <c r="Q403" s="64"/>
      <c r="R403" s="64"/>
    </row>
    <row r="404" spans="13:18" customFormat="1" ht="15" customHeight="1">
      <c r="M404" s="64"/>
      <c r="N404" s="64"/>
      <c r="O404" s="64"/>
      <c r="P404" s="64"/>
      <c r="Q404" s="64"/>
      <c r="R404" s="64"/>
    </row>
    <row r="405" spans="13:18" customFormat="1" ht="15" customHeight="1">
      <c r="M405" s="64"/>
      <c r="N405" s="64"/>
      <c r="O405" s="64"/>
      <c r="P405" s="64"/>
      <c r="Q405" s="64"/>
      <c r="R405" s="64"/>
    </row>
    <row r="406" spans="13:18" customFormat="1" ht="15" customHeight="1">
      <c r="M406" s="64"/>
      <c r="N406" s="64"/>
      <c r="O406" s="64"/>
      <c r="P406" s="64"/>
      <c r="Q406" s="64"/>
      <c r="R406" s="64"/>
    </row>
    <row r="407" spans="13:18" customFormat="1" ht="15" customHeight="1">
      <c r="M407" s="64"/>
      <c r="N407" s="64"/>
      <c r="O407" s="64"/>
      <c r="P407" s="64"/>
      <c r="Q407" s="64"/>
      <c r="R407" s="64"/>
    </row>
    <row r="408" spans="13:18" customFormat="1" ht="15" customHeight="1">
      <c r="M408" s="64"/>
      <c r="N408" s="64"/>
      <c r="O408" s="64"/>
      <c r="P408" s="64"/>
      <c r="Q408" s="64"/>
      <c r="R408" s="64"/>
    </row>
    <row r="409" spans="13:18" customFormat="1" ht="15" customHeight="1">
      <c r="M409" s="64"/>
      <c r="N409" s="64"/>
      <c r="O409" s="64"/>
      <c r="P409" s="64"/>
      <c r="Q409" s="64"/>
      <c r="R409" s="64"/>
    </row>
    <row r="410" spans="13:18" customFormat="1" ht="15" customHeight="1">
      <c r="M410" s="64"/>
      <c r="N410" s="64"/>
      <c r="O410" s="64"/>
      <c r="P410" s="64"/>
      <c r="Q410" s="64"/>
      <c r="R410" s="64"/>
    </row>
    <row r="411" spans="13:18" customFormat="1" ht="15" customHeight="1">
      <c r="M411" s="64"/>
      <c r="N411" s="64"/>
      <c r="O411" s="64"/>
      <c r="P411" s="64"/>
      <c r="Q411" s="64"/>
      <c r="R411" s="64"/>
    </row>
    <row r="412" spans="13:18" customFormat="1" ht="15" customHeight="1">
      <c r="M412" s="64"/>
      <c r="N412" s="64"/>
      <c r="O412" s="64"/>
      <c r="P412" s="64"/>
      <c r="Q412" s="64"/>
      <c r="R412" s="64"/>
    </row>
    <row r="413" spans="13:18" customFormat="1" ht="15" customHeight="1">
      <c r="M413" s="64"/>
      <c r="N413" s="64"/>
      <c r="O413" s="64"/>
      <c r="P413" s="64"/>
      <c r="Q413" s="64"/>
      <c r="R413" s="64"/>
    </row>
    <row r="414" spans="13:18" customFormat="1" ht="15" customHeight="1">
      <c r="M414" s="64"/>
      <c r="N414" s="64"/>
      <c r="O414" s="64"/>
      <c r="P414" s="64"/>
      <c r="Q414" s="64"/>
      <c r="R414" s="64"/>
    </row>
    <row r="415" spans="13:18" customFormat="1" ht="15" customHeight="1">
      <c r="M415" s="64"/>
      <c r="N415" s="64"/>
      <c r="O415" s="64"/>
      <c r="P415" s="64"/>
      <c r="Q415" s="64"/>
      <c r="R415" s="64"/>
    </row>
    <row r="416" spans="13:18" customFormat="1" ht="15" customHeight="1">
      <c r="M416" s="64"/>
      <c r="N416" s="64"/>
      <c r="O416" s="64"/>
      <c r="P416" s="64"/>
      <c r="Q416" s="64"/>
      <c r="R416" s="64"/>
    </row>
    <row r="417" spans="13:18" customFormat="1" ht="15" customHeight="1">
      <c r="M417" s="64"/>
      <c r="N417" s="64"/>
      <c r="O417" s="64"/>
      <c r="P417" s="64"/>
      <c r="Q417" s="64"/>
      <c r="R417" s="64"/>
    </row>
    <row r="418" spans="13:18" customFormat="1" ht="15" customHeight="1">
      <c r="M418" s="64"/>
      <c r="N418" s="64"/>
      <c r="O418" s="64"/>
      <c r="P418" s="64"/>
      <c r="Q418" s="64"/>
      <c r="R418" s="64"/>
    </row>
    <row r="419" spans="13:18" customFormat="1" ht="15" customHeight="1">
      <c r="M419" s="64"/>
      <c r="N419" s="64"/>
      <c r="O419" s="64"/>
      <c r="P419" s="64"/>
      <c r="Q419" s="64"/>
      <c r="R419" s="64"/>
    </row>
    <row r="420" spans="13:18" customFormat="1" ht="15" customHeight="1">
      <c r="M420" s="64"/>
      <c r="N420" s="64"/>
      <c r="O420" s="64"/>
      <c r="P420" s="64"/>
      <c r="Q420" s="64"/>
      <c r="R420" s="64"/>
    </row>
    <row r="421" spans="13:18" customFormat="1" ht="15" customHeight="1">
      <c r="M421" s="64"/>
      <c r="N421" s="64"/>
      <c r="O421" s="64"/>
      <c r="P421" s="64"/>
      <c r="Q421" s="64"/>
      <c r="R421" s="64"/>
    </row>
    <row r="422" spans="13:18" customFormat="1" ht="15" customHeight="1">
      <c r="M422" s="64"/>
      <c r="N422" s="64"/>
      <c r="O422" s="64"/>
      <c r="P422" s="64"/>
      <c r="Q422" s="64"/>
      <c r="R422" s="64"/>
    </row>
    <row r="423" spans="13:18" customFormat="1" ht="15" customHeight="1">
      <c r="M423" s="64"/>
      <c r="N423" s="64"/>
      <c r="O423" s="64"/>
      <c r="P423" s="64"/>
      <c r="Q423" s="64"/>
      <c r="R423" s="64"/>
    </row>
    <row r="424" spans="13:18" customFormat="1" ht="15" customHeight="1">
      <c r="M424" s="64"/>
      <c r="N424" s="64"/>
      <c r="O424" s="64"/>
      <c r="P424" s="64"/>
      <c r="Q424" s="64"/>
      <c r="R424" s="64"/>
    </row>
    <row r="425" spans="13:18" customFormat="1" ht="15" customHeight="1">
      <c r="M425" s="64"/>
      <c r="N425" s="64"/>
      <c r="O425" s="64"/>
      <c r="P425" s="64"/>
      <c r="Q425" s="64"/>
      <c r="R425" s="64"/>
    </row>
    <row r="426" spans="13:18" customFormat="1" ht="15" customHeight="1">
      <c r="M426" s="64"/>
      <c r="N426" s="64"/>
      <c r="O426" s="64"/>
      <c r="P426" s="64"/>
      <c r="Q426" s="64"/>
      <c r="R426" s="64"/>
    </row>
    <row r="427" spans="13:18" customFormat="1" ht="15" customHeight="1">
      <c r="M427" s="64"/>
      <c r="N427" s="64"/>
      <c r="O427" s="64"/>
      <c r="P427" s="64"/>
      <c r="Q427" s="64"/>
      <c r="R427" s="64"/>
    </row>
    <row r="428" spans="13:18" customFormat="1" ht="15" customHeight="1">
      <c r="M428" s="64"/>
      <c r="N428" s="64"/>
      <c r="O428" s="64"/>
      <c r="P428" s="64"/>
      <c r="Q428" s="64"/>
      <c r="R428" s="64"/>
    </row>
    <row r="429" spans="13:18" customFormat="1" ht="15" customHeight="1">
      <c r="M429" s="64"/>
      <c r="N429" s="64"/>
      <c r="O429" s="64"/>
      <c r="P429" s="64"/>
      <c r="Q429" s="64"/>
      <c r="R429" s="64"/>
    </row>
    <row r="430" spans="13:18" customFormat="1" ht="15" customHeight="1">
      <c r="M430" s="64"/>
      <c r="N430" s="64"/>
      <c r="O430" s="64"/>
      <c r="P430" s="64"/>
      <c r="Q430" s="64"/>
      <c r="R430" s="64"/>
    </row>
    <row r="431" spans="13:18" customFormat="1" ht="15" customHeight="1">
      <c r="M431" s="64"/>
      <c r="N431" s="64"/>
      <c r="O431" s="64"/>
      <c r="P431" s="64"/>
      <c r="Q431" s="64"/>
      <c r="R431" s="64"/>
    </row>
    <row r="432" spans="13:18" customFormat="1" ht="15" customHeight="1">
      <c r="M432" s="64"/>
      <c r="N432" s="64"/>
      <c r="O432" s="64"/>
      <c r="P432" s="64"/>
      <c r="Q432" s="64"/>
      <c r="R432" s="64"/>
    </row>
    <row r="433" spans="13:18" customFormat="1" ht="15" customHeight="1">
      <c r="M433" s="64"/>
      <c r="N433" s="64"/>
      <c r="O433" s="64"/>
      <c r="P433" s="64"/>
      <c r="Q433" s="64"/>
      <c r="R433" s="64"/>
    </row>
    <row r="434" spans="13:18" customFormat="1" ht="15" customHeight="1">
      <c r="M434" s="64"/>
      <c r="N434" s="64"/>
      <c r="O434" s="64"/>
      <c r="P434" s="64"/>
      <c r="Q434" s="64"/>
      <c r="R434" s="64"/>
    </row>
    <row r="435" spans="13:18" customFormat="1" ht="15" customHeight="1">
      <c r="M435" s="64"/>
      <c r="N435" s="64"/>
      <c r="O435" s="64"/>
      <c r="P435" s="64"/>
      <c r="Q435" s="64"/>
      <c r="R435" s="64"/>
    </row>
    <row r="436" spans="13:18" customFormat="1" ht="15" customHeight="1">
      <c r="M436" s="64"/>
      <c r="N436" s="64"/>
      <c r="O436" s="64"/>
      <c r="P436" s="64"/>
      <c r="Q436" s="64"/>
      <c r="R436" s="64"/>
    </row>
    <row r="437" spans="13:18" customFormat="1" ht="15" customHeight="1">
      <c r="M437" s="64"/>
      <c r="N437" s="64"/>
      <c r="O437" s="64"/>
      <c r="P437" s="64"/>
      <c r="Q437" s="64"/>
      <c r="R437" s="64"/>
    </row>
    <row r="438" spans="13:18" customFormat="1" ht="15" customHeight="1">
      <c r="M438" s="64"/>
      <c r="N438" s="64"/>
      <c r="O438" s="64"/>
      <c r="P438" s="64"/>
      <c r="Q438" s="64"/>
      <c r="R438" s="64"/>
    </row>
    <row r="439" spans="13:18" customFormat="1" ht="15" customHeight="1">
      <c r="M439" s="64"/>
      <c r="N439" s="64"/>
      <c r="O439" s="64"/>
      <c r="P439" s="64"/>
      <c r="Q439" s="64"/>
      <c r="R439" s="64"/>
    </row>
    <row r="440" spans="13:18" customFormat="1" ht="15" customHeight="1">
      <c r="M440" s="64"/>
      <c r="N440" s="64"/>
      <c r="O440" s="64"/>
      <c r="P440" s="64"/>
      <c r="Q440" s="64"/>
      <c r="R440" s="64"/>
    </row>
    <row r="441" spans="13:18" customFormat="1" ht="15" customHeight="1">
      <c r="M441" s="64"/>
      <c r="N441" s="64"/>
      <c r="O441" s="64"/>
      <c r="P441" s="64"/>
      <c r="Q441" s="64"/>
      <c r="R441" s="64"/>
    </row>
    <row r="442" spans="13:18" customFormat="1" ht="15" customHeight="1">
      <c r="M442" s="64"/>
      <c r="N442" s="64"/>
      <c r="O442" s="64"/>
      <c r="P442" s="64"/>
      <c r="Q442" s="64"/>
      <c r="R442" s="64"/>
    </row>
    <row r="443" spans="13:18" customFormat="1" ht="15" customHeight="1">
      <c r="M443" s="64"/>
      <c r="N443" s="64"/>
      <c r="O443" s="64"/>
      <c r="P443" s="64"/>
      <c r="Q443" s="64"/>
      <c r="R443" s="64"/>
    </row>
    <row r="444" spans="13:18" customFormat="1" ht="15" customHeight="1">
      <c r="M444" s="64"/>
      <c r="N444" s="64"/>
      <c r="O444" s="64"/>
      <c r="P444" s="64"/>
      <c r="Q444" s="64"/>
      <c r="R444" s="64"/>
    </row>
    <row r="445" spans="13:18" customFormat="1" ht="15" customHeight="1">
      <c r="M445" s="64"/>
      <c r="N445" s="64"/>
      <c r="O445" s="64"/>
      <c r="P445" s="64"/>
      <c r="Q445" s="64"/>
      <c r="R445" s="64"/>
    </row>
    <row r="446" spans="13:18" customFormat="1" ht="15" customHeight="1">
      <c r="M446" s="64"/>
      <c r="N446" s="64"/>
      <c r="O446" s="64"/>
      <c r="P446" s="64"/>
      <c r="Q446" s="64"/>
      <c r="R446" s="64"/>
    </row>
    <row r="447" spans="13:18" customFormat="1" ht="15" customHeight="1">
      <c r="M447" s="64"/>
      <c r="N447" s="64"/>
      <c r="O447" s="64"/>
      <c r="P447" s="64"/>
      <c r="Q447" s="64"/>
      <c r="R447" s="64"/>
    </row>
    <row r="448" spans="13:18" customFormat="1" ht="15" customHeight="1">
      <c r="M448" s="64"/>
      <c r="N448" s="64"/>
      <c r="O448" s="64"/>
      <c r="P448" s="64"/>
      <c r="Q448" s="64"/>
      <c r="R448" s="64"/>
    </row>
    <row r="449" spans="13:18" customFormat="1" ht="15" customHeight="1">
      <c r="M449" s="64"/>
      <c r="N449" s="64"/>
      <c r="O449" s="64"/>
      <c r="P449" s="64"/>
      <c r="Q449" s="64"/>
      <c r="R449" s="64"/>
    </row>
    <row r="450" spans="13:18" customFormat="1" ht="15" customHeight="1">
      <c r="M450" s="64"/>
      <c r="N450" s="64"/>
      <c r="O450" s="64"/>
      <c r="P450" s="64"/>
      <c r="Q450" s="64"/>
      <c r="R450" s="64"/>
    </row>
    <row r="451" spans="13:18" customFormat="1" ht="15" customHeight="1">
      <c r="M451" s="64"/>
      <c r="N451" s="64"/>
      <c r="O451" s="64"/>
      <c r="P451" s="64"/>
      <c r="Q451" s="64"/>
      <c r="R451" s="64"/>
    </row>
    <row r="452" spans="13:18" customFormat="1" ht="15" customHeight="1">
      <c r="M452" s="64"/>
      <c r="N452" s="64"/>
      <c r="O452" s="64"/>
      <c r="P452" s="64"/>
      <c r="Q452" s="64"/>
      <c r="R452" s="64"/>
    </row>
    <row r="453" spans="13:18" customFormat="1" ht="15" customHeight="1">
      <c r="M453" s="64"/>
      <c r="N453" s="64"/>
      <c r="O453" s="64"/>
      <c r="P453" s="64"/>
      <c r="Q453" s="64"/>
      <c r="R453" s="64"/>
    </row>
    <row r="454" spans="13:18" customFormat="1" ht="15" customHeight="1">
      <c r="M454" s="64"/>
      <c r="N454" s="64"/>
      <c r="O454" s="64"/>
      <c r="P454" s="64"/>
      <c r="Q454" s="64"/>
      <c r="R454" s="64"/>
    </row>
    <row r="455" spans="13:18" customFormat="1" ht="15" customHeight="1">
      <c r="M455" s="64"/>
      <c r="N455" s="64"/>
      <c r="O455" s="64"/>
      <c r="P455" s="64"/>
      <c r="Q455" s="64"/>
      <c r="R455" s="64"/>
    </row>
    <row r="456" spans="13:18" customFormat="1" ht="15" customHeight="1">
      <c r="M456" s="64"/>
      <c r="N456" s="64"/>
      <c r="O456" s="64"/>
      <c r="P456" s="64"/>
      <c r="Q456" s="64"/>
      <c r="R456" s="64"/>
    </row>
    <row r="457" spans="13:18" customFormat="1" ht="15" customHeight="1">
      <c r="M457" s="64"/>
      <c r="N457" s="64"/>
      <c r="O457" s="64"/>
      <c r="P457" s="64"/>
      <c r="Q457" s="64"/>
      <c r="R457" s="64"/>
    </row>
    <row r="458" spans="13:18" customFormat="1" ht="15" customHeight="1">
      <c r="M458" s="64"/>
      <c r="N458" s="64"/>
      <c r="O458" s="64"/>
      <c r="P458" s="64"/>
      <c r="Q458" s="64"/>
      <c r="R458" s="64"/>
    </row>
    <row r="459" spans="13:18" customFormat="1" ht="15" customHeight="1">
      <c r="M459" s="64"/>
      <c r="N459" s="64"/>
      <c r="O459" s="64"/>
      <c r="P459" s="64"/>
      <c r="Q459" s="64"/>
      <c r="R459" s="64"/>
    </row>
    <row r="460" spans="13:18" customFormat="1" ht="15" customHeight="1">
      <c r="M460" s="64"/>
      <c r="N460" s="64"/>
      <c r="O460" s="64"/>
      <c r="P460" s="64"/>
      <c r="Q460" s="64"/>
      <c r="R460" s="64"/>
    </row>
    <row r="461" spans="13:18" customFormat="1" ht="15" customHeight="1">
      <c r="M461" s="64"/>
      <c r="N461" s="64"/>
      <c r="O461" s="64"/>
      <c r="P461" s="64"/>
      <c r="Q461" s="64"/>
      <c r="R461" s="64"/>
    </row>
    <row r="462" spans="13:18" customFormat="1" ht="15" customHeight="1">
      <c r="M462" s="64"/>
      <c r="N462" s="64"/>
      <c r="O462" s="64"/>
      <c r="P462" s="64"/>
      <c r="Q462" s="64"/>
      <c r="R462" s="64"/>
    </row>
    <row r="463" spans="13:18" customFormat="1" ht="15" customHeight="1">
      <c r="M463" s="64"/>
      <c r="N463" s="64"/>
      <c r="O463" s="64"/>
      <c r="P463" s="64"/>
      <c r="Q463" s="64"/>
      <c r="R463" s="64"/>
    </row>
    <row r="464" spans="13:18" customFormat="1" ht="15" customHeight="1">
      <c r="M464" s="64"/>
      <c r="N464" s="64"/>
      <c r="O464" s="64"/>
      <c r="P464" s="64"/>
      <c r="Q464" s="64"/>
      <c r="R464" s="64"/>
    </row>
    <row r="465" spans="13:18" customFormat="1" ht="15" customHeight="1">
      <c r="M465" s="64"/>
      <c r="N465" s="64"/>
      <c r="O465" s="64"/>
      <c r="P465" s="64"/>
      <c r="Q465" s="64"/>
      <c r="R465" s="64"/>
    </row>
    <row r="466" spans="13:18" customFormat="1" ht="15" customHeight="1">
      <c r="M466" s="64"/>
      <c r="N466" s="64"/>
      <c r="O466" s="64"/>
      <c r="P466" s="64"/>
      <c r="Q466" s="64"/>
      <c r="R466" s="64"/>
    </row>
    <row r="467" spans="13:18" customFormat="1" ht="15" customHeight="1">
      <c r="M467" s="64"/>
      <c r="N467" s="64"/>
      <c r="O467" s="64"/>
      <c r="P467" s="64"/>
      <c r="Q467" s="64"/>
      <c r="R467" s="64"/>
    </row>
    <row r="468" spans="13:18" customFormat="1" ht="15" customHeight="1">
      <c r="M468" s="64"/>
      <c r="N468" s="64"/>
      <c r="O468" s="64"/>
      <c r="P468" s="64"/>
      <c r="Q468" s="64"/>
      <c r="R468" s="64"/>
    </row>
    <row r="469" spans="13:18" customFormat="1" ht="15" customHeight="1">
      <c r="M469" s="64"/>
      <c r="N469" s="64"/>
      <c r="O469" s="64"/>
      <c r="P469" s="64"/>
      <c r="Q469" s="64"/>
      <c r="R469" s="64"/>
    </row>
    <row r="470" spans="13:18" customFormat="1" ht="15" customHeight="1">
      <c r="M470" s="64"/>
      <c r="N470" s="64"/>
      <c r="O470" s="64"/>
      <c r="P470" s="64"/>
      <c r="Q470" s="64"/>
      <c r="R470" s="64"/>
    </row>
    <row r="471" spans="13:18" customFormat="1" ht="15" customHeight="1">
      <c r="M471" s="64"/>
      <c r="N471" s="64"/>
      <c r="O471" s="64"/>
      <c r="P471" s="64"/>
      <c r="Q471" s="64"/>
      <c r="R471" s="64"/>
    </row>
    <row r="472" spans="13:18" customFormat="1" ht="15" customHeight="1">
      <c r="M472" s="64"/>
      <c r="N472" s="64"/>
      <c r="O472" s="64"/>
      <c r="P472" s="64"/>
      <c r="Q472" s="64"/>
      <c r="R472" s="64"/>
    </row>
    <row r="473" spans="13:18" customFormat="1" ht="15" customHeight="1">
      <c r="M473" s="64"/>
      <c r="N473" s="64"/>
      <c r="O473" s="64"/>
      <c r="P473" s="64"/>
      <c r="Q473" s="64"/>
      <c r="R473" s="64"/>
    </row>
    <row r="474" spans="13:18" customFormat="1" ht="15" customHeight="1">
      <c r="M474" s="64"/>
      <c r="N474" s="64"/>
      <c r="O474" s="64"/>
      <c r="P474" s="64"/>
      <c r="Q474" s="64"/>
      <c r="R474" s="64"/>
    </row>
    <row r="475" spans="13:18" customFormat="1" ht="15" customHeight="1">
      <c r="M475" s="64"/>
      <c r="N475" s="64"/>
      <c r="O475" s="64"/>
      <c r="P475" s="64"/>
      <c r="Q475" s="64"/>
      <c r="R475" s="64"/>
    </row>
    <row r="476" spans="13:18" customFormat="1" ht="15" customHeight="1">
      <c r="M476" s="64"/>
      <c r="N476" s="64"/>
      <c r="O476" s="64"/>
      <c r="P476" s="64"/>
      <c r="Q476" s="64"/>
      <c r="R476" s="64"/>
    </row>
    <row r="477" spans="13:18" customFormat="1" ht="15" customHeight="1">
      <c r="M477" s="64"/>
      <c r="N477" s="64"/>
      <c r="O477" s="64"/>
      <c r="P477" s="64"/>
      <c r="Q477" s="64"/>
      <c r="R477" s="64"/>
    </row>
    <row r="478" spans="13:18" customFormat="1" ht="15" customHeight="1">
      <c r="M478" s="64"/>
      <c r="N478" s="64"/>
      <c r="O478" s="64"/>
      <c r="P478" s="64"/>
      <c r="Q478" s="64"/>
      <c r="R478" s="64"/>
    </row>
    <row r="479" spans="13:18" customFormat="1" ht="15" customHeight="1">
      <c r="M479" s="64"/>
      <c r="N479" s="64"/>
      <c r="O479" s="64"/>
      <c r="P479" s="64"/>
      <c r="Q479" s="64"/>
      <c r="R479" s="64"/>
    </row>
    <row r="480" spans="13:18" customFormat="1" ht="15" customHeight="1">
      <c r="M480" s="64"/>
      <c r="N480" s="64"/>
      <c r="O480" s="64"/>
      <c r="P480" s="64"/>
      <c r="Q480" s="64"/>
      <c r="R480" s="64"/>
    </row>
    <row r="481" spans="1:18" customFormat="1" ht="15" customHeight="1">
      <c r="M481" s="64"/>
      <c r="N481" s="64"/>
      <c r="O481" s="64"/>
      <c r="P481" s="64"/>
      <c r="Q481" s="64"/>
      <c r="R481" s="64"/>
    </row>
    <row r="482" spans="1:18" customFormat="1" ht="15" customHeight="1">
      <c r="M482" s="64"/>
      <c r="N482" s="64"/>
      <c r="O482" s="64"/>
      <c r="P482" s="64"/>
      <c r="Q482" s="64"/>
      <c r="R482" s="64"/>
    </row>
    <row r="483" spans="1:18" customFormat="1" ht="15" customHeight="1">
      <c r="M483" s="64"/>
      <c r="N483" s="64"/>
      <c r="O483" s="64"/>
      <c r="P483" s="64"/>
      <c r="Q483" s="64"/>
      <c r="R483" s="64"/>
    </row>
    <row r="484" spans="1:18" customFormat="1" ht="15" customHeight="1">
      <c r="M484" s="64"/>
      <c r="N484" s="64"/>
      <c r="O484" s="64"/>
      <c r="P484" s="64"/>
      <c r="Q484" s="64"/>
      <c r="R484" s="64"/>
    </row>
    <row r="485" spans="1:18" customFormat="1" ht="15" customHeight="1">
      <c r="M485" s="64"/>
      <c r="N485" s="64"/>
      <c r="O485" s="64"/>
      <c r="P485" s="64"/>
      <c r="Q485" s="64"/>
      <c r="R485" s="64"/>
    </row>
    <row r="486" spans="1:18" customFormat="1" ht="15" customHeight="1">
      <c r="M486" s="64"/>
      <c r="N486" s="64"/>
      <c r="O486" s="64"/>
      <c r="P486" s="64"/>
      <c r="Q486" s="64"/>
      <c r="R486" s="64"/>
    </row>
    <row r="487" spans="1:18" customFormat="1" ht="15" customHeight="1">
      <c r="M487" s="64"/>
      <c r="N487" s="64"/>
      <c r="O487" s="64"/>
      <c r="P487" s="64"/>
      <c r="Q487" s="64"/>
      <c r="R487" s="64"/>
    </row>
    <row r="488" spans="1:18" customFormat="1" ht="15" customHeight="1">
      <c r="M488" s="64"/>
      <c r="N488" s="64"/>
      <c r="O488" s="64"/>
      <c r="P488" s="64"/>
      <c r="Q488" s="64"/>
      <c r="R488" s="64"/>
    </row>
    <row r="489" spans="1:18" customFormat="1" ht="15" customHeight="1">
      <c r="M489" s="64"/>
      <c r="N489" s="64"/>
      <c r="O489" s="64"/>
      <c r="P489" s="64"/>
      <c r="Q489" s="64"/>
      <c r="R489" s="64"/>
    </row>
    <row r="490" spans="1:18" customFormat="1" ht="15" customHeight="1">
      <c r="M490" s="64"/>
      <c r="N490" s="64"/>
      <c r="O490" s="64"/>
      <c r="P490" s="64"/>
      <c r="Q490" s="64"/>
      <c r="R490" s="64"/>
    </row>
    <row r="491" spans="1:18" customFormat="1" ht="15" customHeight="1">
      <c r="M491" s="64"/>
      <c r="N491" s="64"/>
      <c r="O491" s="64"/>
      <c r="P491" s="64"/>
      <c r="Q491" s="64"/>
      <c r="R491" s="64"/>
    </row>
    <row r="492" spans="1:18" ht="15" customHeight="1">
      <c r="A492"/>
    </row>
  </sheetData>
  <sheetProtection algorithmName="SHA-512" hashValue="6R0oy8UfsQCFTB2lLBP05aDql1a/S/s/ufFjJiwWCpWSH5L8ehqcTMEXlyaD38lK1nV31oHBLGKR19o5TN2QCQ==" saltValue="X80cKrterxqvGNO0fl43gA==" spinCount="100000" sheet="1" objects="1" scenarios="1"/>
  <hyperlinks>
    <hyperlink ref="R1" r:id="rId1" xr:uid="{F16A2911-A9C1-47F3-8B1C-7C40D677384E}"/>
  </hyperlinks>
  <printOptions horizontalCentered="1"/>
  <pageMargins left="0.118110236220472" right="0.118110236220472" top="0.118110236220472" bottom="0.118110236220472" header="0.118110236220472" footer="0.118110236220472"/>
  <pageSetup paperSize="5" scale="59" orientation="landscape" r:id="rId2"/>
  <headerFooter alignWithMargins="0">
    <oddFooter>&amp;C&amp;"Open Sans,Bold"&amp;10&amp;K002060Page &amp;P of &amp;N&amp;R&amp;G</oddFooter>
  </headerFooter>
  <rowBreaks count="4" manualBreakCount="4">
    <brk id="67" min="1" max="21" man="1"/>
    <brk id="105" min="1" max="21" man="1"/>
    <brk id="141" min="1" max="21" man="1"/>
    <brk id="171" min="1" max="21" man="1"/>
  </rowBreaks>
  <drawing r:id="rId3"/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B68A-8D87-4EA3-915C-B09470973BD8}">
  <dimension ref="B1:AJ52"/>
  <sheetViews>
    <sheetView showGridLines="0" workbookViewId="0"/>
  </sheetViews>
  <sheetFormatPr defaultColWidth="11.5703125" defaultRowHeight="18" customHeight="1"/>
  <sheetData>
    <row r="1" spans="2:36" ht="65.25" customHeight="1"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138" t="s">
        <v>193</v>
      </c>
    </row>
    <row r="4" spans="2:36" ht="18" customHeight="1">
      <c r="N4" s="109" t="str">
        <f>'Ratio Calculations'!B8</f>
        <v>Return on Equity</v>
      </c>
      <c r="O4" s="110"/>
      <c r="P4" s="110"/>
      <c r="Q4" s="110"/>
      <c r="R4" s="110"/>
      <c r="S4" s="111"/>
    </row>
    <row r="5" spans="2:36" ht="18" customHeight="1">
      <c r="N5" s="112">
        <v>2020</v>
      </c>
      <c r="O5" s="113">
        <v>2021</v>
      </c>
      <c r="P5" s="113">
        <v>2022</v>
      </c>
      <c r="Q5" s="113">
        <v>2023</v>
      </c>
      <c r="R5" s="113">
        <v>2024</v>
      </c>
      <c r="S5" s="114">
        <v>2025</v>
      </c>
    </row>
    <row r="6" spans="2:36" ht="18" customHeight="1">
      <c r="N6" s="115">
        <f>'Ratio Calculations'!M8</f>
        <v>0.34030775696902088</v>
      </c>
      <c r="O6" s="116">
        <f>'Ratio Calculations'!N8</f>
        <v>0.37674322696408091</v>
      </c>
      <c r="P6" s="116">
        <f>'Ratio Calculations'!O8</f>
        <v>0.36092168760112925</v>
      </c>
      <c r="Q6" s="116">
        <f>'Ratio Calculations'!P8</f>
        <v>0.40951214444500167</v>
      </c>
      <c r="R6" s="116">
        <f>'Ratio Calculations'!Q8</f>
        <v>0.43065495459238134</v>
      </c>
      <c r="S6" s="117">
        <f>'Ratio Calculations'!R8</f>
        <v>0.40858759019112884</v>
      </c>
      <c r="AC6" s="120" t="s">
        <v>190</v>
      </c>
      <c r="AD6" s="121"/>
      <c r="AE6" s="121"/>
      <c r="AF6" s="121"/>
      <c r="AG6" s="121"/>
      <c r="AH6" s="121"/>
      <c r="AI6" s="121"/>
      <c r="AJ6" s="122"/>
    </row>
    <row r="7" spans="2:36" ht="18" customHeight="1">
      <c r="N7" s="103"/>
      <c r="O7" s="103"/>
      <c r="P7" s="127"/>
      <c r="Q7" s="103"/>
      <c r="R7" s="103"/>
      <c r="S7" s="103"/>
      <c r="AC7" s="105"/>
      <c r="AJ7" s="104"/>
    </row>
    <row r="8" spans="2:36" ht="18" customHeight="1">
      <c r="G8" s="109" t="str">
        <f>'Ratio Calculations'!B51</f>
        <v>Net Profit Margin</v>
      </c>
      <c r="H8" s="110"/>
      <c r="I8" s="110"/>
      <c r="J8" s="110"/>
      <c r="K8" s="110"/>
      <c r="L8" s="111"/>
      <c r="N8" s="109" t="str">
        <f>'Ratio Calculations'!B111</f>
        <v>Total Asset to Equity</v>
      </c>
      <c r="O8" s="110"/>
      <c r="P8" s="110"/>
      <c r="Q8" s="110"/>
      <c r="R8" s="110"/>
      <c r="S8" s="111"/>
      <c r="U8" s="109" t="str">
        <f>'Ratio Calculations'!B73</f>
        <v>Asset Turnover</v>
      </c>
      <c r="V8" s="110"/>
      <c r="W8" s="110"/>
      <c r="X8" s="110"/>
      <c r="Y8" s="110"/>
      <c r="Z8" s="111"/>
      <c r="AC8" s="105"/>
      <c r="AD8" s="109" t="str">
        <f>'Ratio Calculations'!B82</f>
        <v>Cash Days</v>
      </c>
      <c r="AE8" s="110"/>
      <c r="AF8" s="110"/>
      <c r="AG8" s="110"/>
      <c r="AH8" s="110"/>
      <c r="AI8" s="111"/>
      <c r="AJ8" s="104"/>
    </row>
    <row r="9" spans="2:36" ht="18" customHeight="1">
      <c r="G9" s="112">
        <v>2020</v>
      </c>
      <c r="H9" s="113">
        <v>2021</v>
      </c>
      <c r="I9" s="113">
        <v>2022</v>
      </c>
      <c r="J9" s="113">
        <v>2023</v>
      </c>
      <c r="K9" s="113">
        <v>2024</v>
      </c>
      <c r="L9" s="114">
        <v>2025</v>
      </c>
      <c r="M9" s="128"/>
      <c r="N9" s="112">
        <v>2020</v>
      </c>
      <c r="O9" s="113">
        <v>2021</v>
      </c>
      <c r="P9" s="113">
        <v>2022</v>
      </c>
      <c r="Q9" s="113">
        <v>2023</v>
      </c>
      <c r="R9" s="113">
        <v>2024</v>
      </c>
      <c r="S9" s="114">
        <v>2025</v>
      </c>
      <c r="T9" s="128"/>
      <c r="U9" s="112">
        <v>2020</v>
      </c>
      <c r="V9" s="113">
        <v>2021</v>
      </c>
      <c r="W9" s="113">
        <v>2022</v>
      </c>
      <c r="X9" s="113">
        <v>2023</v>
      </c>
      <c r="Y9" s="113">
        <v>2024</v>
      </c>
      <c r="Z9" s="114">
        <v>2025</v>
      </c>
      <c r="AC9" s="105"/>
      <c r="AD9" s="112">
        <v>2020</v>
      </c>
      <c r="AE9" s="113">
        <v>2021</v>
      </c>
      <c r="AF9" s="113">
        <v>2022</v>
      </c>
      <c r="AG9" s="113">
        <v>2023</v>
      </c>
      <c r="AH9" s="113">
        <v>2024</v>
      </c>
      <c r="AI9" s="114">
        <v>2025</v>
      </c>
      <c r="AJ9" s="104"/>
    </row>
    <row r="10" spans="2:36" ht="18" customHeight="1">
      <c r="G10" s="115">
        <f>'Ratio Calculations'!M51</f>
        <v>0.17598755993860898</v>
      </c>
      <c r="H10" s="115">
        <f>'Ratio Calculations'!N51</f>
        <v>0.19507297535363791</v>
      </c>
      <c r="I10" s="115">
        <f>'Ratio Calculations'!O51</f>
        <v>0.18434684512293203</v>
      </c>
      <c r="J10" s="115">
        <f>'Ratio Calculations'!P51</f>
        <v>0.21062416229016845</v>
      </c>
      <c r="K10" s="115">
        <f>'Ratio Calculations'!Q51</f>
        <v>0.22854408815894395</v>
      </c>
      <c r="L10" s="115">
        <f>'Ratio Calculations'!R51</f>
        <v>0.22384088036443389</v>
      </c>
      <c r="N10" s="118">
        <f>'Ratio Calculations'!M111</f>
        <v>3.4999066624040633</v>
      </c>
      <c r="O10" s="118">
        <f>'Ratio Calculations'!N111</f>
        <v>3.1036697753837359</v>
      </c>
      <c r="P10" s="118">
        <f>'Ratio Calculations'!O111</f>
        <v>2.9840006885721233</v>
      </c>
      <c r="Q10" s="118">
        <f>'Ratio Calculations'!P111</f>
        <v>2.6220459568126588</v>
      </c>
      <c r="R10" s="118">
        <f>'Ratio Calculations'!Q111</f>
        <v>2.6803579099117814</v>
      </c>
      <c r="S10" s="118">
        <f>'Ratio Calculations'!R111</f>
        <v>2.4595112525934022</v>
      </c>
      <c r="U10" s="118">
        <f>'Ratio Calculations'!M73</f>
        <v>0.55250144241970711</v>
      </c>
      <c r="V10" s="118">
        <f>'Ratio Calculations'!N73</f>
        <v>0.62226136645926533</v>
      </c>
      <c r="W10" s="118">
        <f>'Ratio Calculations'!O73</f>
        <v>0.6561125588363268</v>
      </c>
      <c r="X10" s="118">
        <f>'Ratio Calculations'!P73</f>
        <v>0.74151219080815645</v>
      </c>
      <c r="Y10" s="118">
        <f>'Ratio Calculations'!Q73</f>
        <v>0.70301835941029023</v>
      </c>
      <c r="Z10" s="118">
        <f>'Ratio Calculations'!R73</f>
        <v>0.74215899044820965</v>
      </c>
      <c r="AC10" s="105"/>
      <c r="AD10" s="126">
        <f>'Ratio Calculations'!M82</f>
        <v>143.73074377346603</v>
      </c>
      <c r="AE10" s="126">
        <f>'Ratio Calculations'!N82</f>
        <v>114.8736751602826</v>
      </c>
      <c r="AF10" s="126">
        <f>'Ratio Calculations'!O82</f>
        <v>99.494326484999576</v>
      </c>
      <c r="AG10" s="126">
        <f>'Ratio Calculations'!P82</f>
        <v>68.595150771857178</v>
      </c>
      <c r="AH10" s="126">
        <f>'Ratio Calculations'!Q82</f>
        <v>95.243332452654528</v>
      </c>
      <c r="AI10" s="126">
        <f>'Ratio Calculations'!R82</f>
        <v>74.969480537291446</v>
      </c>
      <c r="AJ10" s="104"/>
    </row>
    <row r="11" spans="2:36" ht="18" customHeight="1">
      <c r="I11" s="125"/>
      <c r="X11" s="130"/>
      <c r="AC11" s="105"/>
      <c r="AJ11" s="104"/>
    </row>
    <row r="12" spans="2:36" ht="18" customHeight="1">
      <c r="C12" s="109" t="str">
        <f>'Ratio Calculations'!B44</f>
        <v>EBT Margin</v>
      </c>
      <c r="D12" s="110"/>
      <c r="E12" s="110"/>
      <c r="F12" s="110"/>
      <c r="G12" s="110"/>
      <c r="H12" s="111"/>
      <c r="I12" s="104"/>
      <c r="K12" s="109" t="str">
        <f>'Ratio Calculations'!B48</f>
        <v>Tax % of Revenue</v>
      </c>
      <c r="L12" s="110"/>
      <c r="M12" s="110"/>
      <c r="N12" s="110"/>
      <c r="O12" s="110"/>
      <c r="P12" s="111"/>
      <c r="U12" s="109" t="str">
        <f>'Ratio Calculations'!B79</f>
        <v>Cash Turnover</v>
      </c>
      <c r="V12" s="110"/>
      <c r="W12" s="110"/>
      <c r="X12" s="110"/>
      <c r="Y12" s="110"/>
      <c r="Z12" s="111"/>
      <c r="AC12" s="105"/>
      <c r="AD12" s="109" t="str">
        <f>'Ratio Calculations'!B88</f>
        <v>A/R Days</v>
      </c>
      <c r="AE12" s="110"/>
      <c r="AF12" s="110"/>
      <c r="AG12" s="110"/>
      <c r="AH12" s="110"/>
      <c r="AI12" s="111"/>
      <c r="AJ12" s="104"/>
    </row>
    <row r="13" spans="2:36" ht="18" customHeight="1">
      <c r="C13" s="112">
        <v>2020</v>
      </c>
      <c r="D13" s="113">
        <v>2021</v>
      </c>
      <c r="E13" s="113">
        <v>2022</v>
      </c>
      <c r="F13" s="113">
        <v>2023</v>
      </c>
      <c r="G13" s="113">
        <v>2024</v>
      </c>
      <c r="H13" s="114">
        <v>2025</v>
      </c>
      <c r="I13" s="104"/>
      <c r="K13" s="112">
        <v>2020</v>
      </c>
      <c r="L13" s="113">
        <v>2021</v>
      </c>
      <c r="M13" s="113">
        <v>2022</v>
      </c>
      <c r="N13" s="113">
        <v>2023</v>
      </c>
      <c r="O13" s="113">
        <v>2024</v>
      </c>
      <c r="P13" s="114">
        <v>2025</v>
      </c>
      <c r="U13" s="112">
        <v>2020</v>
      </c>
      <c r="V13" s="113">
        <v>2021</v>
      </c>
      <c r="W13" s="113">
        <v>2022</v>
      </c>
      <c r="X13" s="113">
        <v>2023</v>
      </c>
      <c r="Y13" s="113">
        <v>2024</v>
      </c>
      <c r="Z13" s="114">
        <v>2025</v>
      </c>
      <c r="AC13" s="105"/>
      <c r="AD13" s="112">
        <v>2020</v>
      </c>
      <c r="AE13" s="113">
        <v>2021</v>
      </c>
      <c r="AF13" s="113">
        <v>2022</v>
      </c>
      <c r="AG13" s="113">
        <v>2023</v>
      </c>
      <c r="AH13" s="113">
        <v>2024</v>
      </c>
      <c r="AI13" s="114">
        <v>2025</v>
      </c>
      <c r="AJ13" s="104"/>
    </row>
    <row r="14" spans="2:36" ht="18" customHeight="1">
      <c r="C14" s="115">
        <f>'Ratio Calculations'!M44</f>
        <v>0.19279638359553614</v>
      </c>
      <c r="D14" s="115">
        <f>'Ratio Calculations'!N44</f>
        <v>0.24403110917761012</v>
      </c>
      <c r="E14" s="115">
        <f>'Ratio Calculations'!O44</f>
        <v>0.23114961491615532</v>
      </c>
      <c r="F14" s="115">
        <f>'Ratio Calculations'!P44</f>
        <v>0.26839444127497047</v>
      </c>
      <c r="G14" s="115">
        <f>'Ratio Calculations'!Q44</f>
        <v>0.28291896496875385</v>
      </c>
      <c r="H14" s="115">
        <f>'Ratio Calculations'!R44</f>
        <v>0.28879107186239461</v>
      </c>
      <c r="I14" s="125"/>
      <c r="J14" s="129"/>
      <c r="K14" s="115">
        <f>'Ratio Calculations'!M48</f>
        <v>1.6808823656927156E-2</v>
      </c>
      <c r="L14" s="115">
        <f>'Ratio Calculations'!N48</f>
        <v>4.8958133823972218E-2</v>
      </c>
      <c r="M14" s="115">
        <f>'Ratio Calculations'!O48</f>
        <v>4.6802769793223259E-2</v>
      </c>
      <c r="N14" s="115">
        <f>'Ratio Calculations'!P48</f>
        <v>5.7770278984802047E-2</v>
      </c>
      <c r="O14" s="115">
        <f>'Ratio Calculations'!Q48</f>
        <v>5.4374876809809923E-2</v>
      </c>
      <c r="P14" s="115">
        <f>'Ratio Calculations'!R48</f>
        <v>6.4950191497960746E-2</v>
      </c>
      <c r="U14" s="118">
        <f>'Ratio Calculations'!M79</f>
        <v>2.5394706130184392</v>
      </c>
      <c r="V14" s="118">
        <f>'Ratio Calculations'!N79</f>
        <v>3.1774033475530188</v>
      </c>
      <c r="W14" s="118">
        <f>'Ratio Calculations'!O79</f>
        <v>3.6685508902362369</v>
      </c>
      <c r="X14" s="118">
        <f>'Ratio Calculations'!P79</f>
        <v>5.3210758470954502</v>
      </c>
      <c r="Y14" s="118">
        <f>'Ratio Calculations'!Q79</f>
        <v>3.8322892595283933</v>
      </c>
      <c r="Z14" s="118">
        <f>'Ratio Calculations'!R79</f>
        <v>4.8686478468853878</v>
      </c>
      <c r="AC14" s="105"/>
      <c r="AD14" s="126">
        <f>'Ratio Calculations'!M88</f>
        <v>19.439012194381739</v>
      </c>
      <c r="AE14" s="126">
        <f>'Ratio Calculations'!N88</f>
        <v>15.810507120991531</v>
      </c>
      <c r="AF14" s="126">
        <f>'Ratio Calculations'!O88</f>
        <v>16.649044385225938</v>
      </c>
      <c r="AG14" s="126">
        <f>'Ratio Calculations'!P88</f>
        <v>15.980128459170011</v>
      </c>
      <c r="AH14" s="126">
        <f>'Ratio Calculations'!Q88</f>
        <v>19.088749058662195</v>
      </c>
      <c r="AI14" s="126">
        <f>'Ratio Calculations'!R88</f>
        <v>18.405822159353619</v>
      </c>
      <c r="AJ14" s="104"/>
    </row>
    <row r="15" spans="2:36" ht="18" customHeight="1">
      <c r="I15" s="104"/>
      <c r="X15" s="130"/>
      <c r="AC15" s="105"/>
      <c r="AJ15" s="104"/>
    </row>
    <row r="16" spans="2:36" ht="18" customHeight="1">
      <c r="C16" s="109" t="str">
        <f>'Ratio Calculations'!B36</f>
        <v>EBIT Margin</v>
      </c>
      <c r="D16" s="110"/>
      <c r="E16" s="110"/>
      <c r="F16" s="110"/>
      <c r="G16" s="110"/>
      <c r="H16" s="111"/>
      <c r="I16" s="104"/>
      <c r="K16" s="109" t="str">
        <f>'Ratio Calculations'!B40</f>
        <v>Other Non Operating Expense % of Revenue</v>
      </c>
      <c r="L16" s="110"/>
      <c r="M16" s="110"/>
      <c r="N16" s="110"/>
      <c r="O16" s="110"/>
      <c r="P16" s="111"/>
      <c r="U16" s="109" t="str">
        <f>'Ratio Calculations'!B85</f>
        <v>A/R Turnover</v>
      </c>
      <c r="V16" s="110"/>
      <c r="W16" s="110"/>
      <c r="X16" s="110"/>
      <c r="Y16" s="110"/>
      <c r="Z16" s="111"/>
      <c r="AC16" s="105"/>
      <c r="AD16" s="109" t="str">
        <f>'Ratio Calculations'!B94</f>
        <v>Inventory Days</v>
      </c>
      <c r="AE16" s="110"/>
      <c r="AF16" s="110"/>
      <c r="AG16" s="110"/>
      <c r="AH16" s="110"/>
      <c r="AI16" s="111"/>
      <c r="AJ16" s="104"/>
    </row>
    <row r="17" spans="3:36" ht="18" customHeight="1">
      <c r="C17" s="112">
        <v>2020</v>
      </c>
      <c r="D17" s="113">
        <v>2021</v>
      </c>
      <c r="E17" s="113">
        <v>2022</v>
      </c>
      <c r="F17" s="113">
        <v>2023</v>
      </c>
      <c r="G17" s="113">
        <v>2024</v>
      </c>
      <c r="H17" s="114">
        <v>2025</v>
      </c>
      <c r="I17" s="104"/>
      <c r="K17" s="112">
        <v>2020</v>
      </c>
      <c r="L17" s="113">
        <v>2021</v>
      </c>
      <c r="M17" s="113">
        <v>2022</v>
      </c>
      <c r="N17" s="113">
        <v>2023</v>
      </c>
      <c r="O17" s="113">
        <v>2024</v>
      </c>
      <c r="P17" s="114">
        <v>2025</v>
      </c>
      <c r="U17" s="112">
        <v>2020</v>
      </c>
      <c r="V17" s="113">
        <v>2021</v>
      </c>
      <c r="W17" s="113">
        <v>2022</v>
      </c>
      <c r="X17" s="113">
        <v>2023</v>
      </c>
      <c r="Y17" s="113">
        <v>2024</v>
      </c>
      <c r="Z17" s="114">
        <v>2025</v>
      </c>
      <c r="AC17" s="105"/>
      <c r="AD17" s="112">
        <v>2020</v>
      </c>
      <c r="AE17" s="113">
        <v>2021</v>
      </c>
      <c r="AF17" s="113">
        <v>2022</v>
      </c>
      <c r="AG17" s="113">
        <v>2023</v>
      </c>
      <c r="AH17" s="113">
        <v>2024</v>
      </c>
      <c r="AI17" s="114">
        <v>2025</v>
      </c>
      <c r="AJ17" s="104"/>
    </row>
    <row r="18" spans="3:36" ht="18" customHeight="1">
      <c r="C18" s="115">
        <f>'Ratio Calculations'!M36</f>
        <v>0.2069856841022143</v>
      </c>
      <c r="D18" s="115">
        <f>'Ratio Calculations'!N36</f>
        <v>0.25181800344377547</v>
      </c>
      <c r="E18" s="115">
        <f>'Ratio Calculations'!O36</f>
        <v>0.2408873041461721</v>
      </c>
      <c r="F18" s="115">
        <f>'Ratio Calculations'!P36</f>
        <v>0.27090945514565307</v>
      </c>
      <c r="G18" s="115">
        <f>'Ratio Calculations'!Q36</f>
        <v>0.28273848572371729</v>
      </c>
      <c r="H18" s="115">
        <f>'Ratio Calculations'!R36</f>
        <v>0.29523978388327188</v>
      </c>
      <c r="I18" s="125"/>
      <c r="J18" s="129"/>
      <c r="K18" s="115">
        <f>'Ratio Calculations'!M40</f>
        <v>0.14813847083204473</v>
      </c>
      <c r="L18" s="115">
        <f>'Ratio Calculations'!N40</f>
        <v>0.12664257178941926</v>
      </c>
      <c r="M18" s="115">
        <f>'Ratio Calculations'!O40</f>
        <v>9.9027251634560318E-2</v>
      </c>
      <c r="N18" s="115">
        <f>'Ratio Calculations'!P40</f>
        <v>8.7471730172092949E-2</v>
      </c>
      <c r="O18" s="115">
        <f>'Ratio Calculations'!Q40</f>
        <v>7.9553304133139463E-2</v>
      </c>
      <c r="P18" s="115">
        <f>'Ratio Calculations'!R40</f>
        <v>8.0801531759777251E-2</v>
      </c>
      <c r="U18" s="118">
        <f>'Ratio Calculations'!M85</f>
        <v>18.77667426462607</v>
      </c>
      <c r="V18" s="118">
        <f>'Ratio Calculations'!N85</f>
        <v>23.085913513513514</v>
      </c>
      <c r="W18" s="118">
        <f>'Ratio Calculations'!O85</f>
        <v>21.923180187079954</v>
      </c>
      <c r="X18" s="118">
        <f>'Ratio Calculations'!P85</f>
        <v>22.840867702196036</v>
      </c>
      <c r="Y18" s="118">
        <f>'Ratio Calculations'!Q85</f>
        <v>19.121211079799298</v>
      </c>
      <c r="Z18" s="118">
        <f>'Ratio Calculations'!R85</f>
        <v>19.830681663655614</v>
      </c>
      <c r="AC18" s="105"/>
      <c r="AD18" s="126">
        <f>'Ratio Calculations'!M94</f>
        <v>114.49769200175433</v>
      </c>
      <c r="AE18" s="126">
        <f>'Ratio Calculations'!N94</f>
        <v>106.62424696679197</v>
      </c>
      <c r="AF18" s="126">
        <f>'Ratio Calculations'!O94</f>
        <v>103.07279632866548</v>
      </c>
      <c r="AG18" s="126">
        <f>'Ratio Calculations'!P94</f>
        <v>127.95619056700495</v>
      </c>
      <c r="AH18" s="126">
        <f>'Ratio Calculations'!Q94</f>
        <v>131.09278197399536</v>
      </c>
      <c r="AI18" s="126">
        <f>'Ratio Calculations'!R94</f>
        <v>128.89803778219581</v>
      </c>
      <c r="AJ18" s="104"/>
    </row>
    <row r="19" spans="3:36" ht="18" customHeight="1">
      <c r="I19" s="104"/>
      <c r="X19" s="130"/>
      <c r="AC19" s="105"/>
      <c r="AJ19" s="104"/>
    </row>
    <row r="20" spans="3:36" ht="18" customHeight="1">
      <c r="C20" s="109" t="str">
        <f>'Ratio Calculations'!B29</f>
        <v>EBITDA Margin</v>
      </c>
      <c r="D20" s="110"/>
      <c r="E20" s="110"/>
      <c r="F20" s="110"/>
      <c r="G20" s="110"/>
      <c r="H20" s="111"/>
      <c r="I20" s="104"/>
      <c r="K20" s="109" t="str">
        <f>'Ratio Calculations'!B33</f>
        <v>Depreciation % of Revenue</v>
      </c>
      <c r="L20" s="110"/>
      <c r="M20" s="110"/>
      <c r="N20" s="110"/>
      <c r="O20" s="110"/>
      <c r="P20" s="111"/>
      <c r="U20" s="109" t="str">
        <f>'Ratio Calculations'!B91</f>
        <v>Inventory Turnover</v>
      </c>
      <c r="V20" s="110"/>
      <c r="W20" s="110"/>
      <c r="X20" s="110"/>
      <c r="Y20" s="110"/>
      <c r="Z20" s="111"/>
      <c r="AC20" s="105"/>
      <c r="AD20" s="109" t="str">
        <f>'Ratio Calculations'!B100</f>
        <v>A/P Days</v>
      </c>
      <c r="AE20" s="110"/>
      <c r="AF20" s="110"/>
      <c r="AG20" s="110"/>
      <c r="AH20" s="110"/>
      <c r="AI20" s="111"/>
      <c r="AJ20" s="104"/>
    </row>
    <row r="21" spans="3:36" ht="18" customHeight="1">
      <c r="C21" s="112">
        <v>2020</v>
      </c>
      <c r="D21" s="113">
        <v>2021</v>
      </c>
      <c r="E21" s="113">
        <v>2022</v>
      </c>
      <c r="F21" s="113">
        <v>2023</v>
      </c>
      <c r="G21" s="113">
        <v>2024</v>
      </c>
      <c r="H21" s="114">
        <v>2025</v>
      </c>
      <c r="I21" s="128"/>
      <c r="K21" s="112">
        <v>2020</v>
      </c>
      <c r="L21" s="113">
        <v>2021</v>
      </c>
      <c r="M21" s="113">
        <v>2022</v>
      </c>
      <c r="N21" s="113">
        <v>2023</v>
      </c>
      <c r="O21" s="113">
        <v>2024</v>
      </c>
      <c r="P21" s="114">
        <v>2025</v>
      </c>
      <c r="U21" s="112">
        <v>2020</v>
      </c>
      <c r="V21" s="113">
        <v>2021</v>
      </c>
      <c r="W21" s="113">
        <v>2022</v>
      </c>
      <c r="X21" s="113">
        <v>2023</v>
      </c>
      <c r="Y21" s="113">
        <v>2024</v>
      </c>
      <c r="Z21" s="114">
        <v>2025</v>
      </c>
      <c r="AC21" s="105"/>
      <c r="AD21" s="112">
        <v>2020</v>
      </c>
      <c r="AE21" s="113">
        <v>2021</v>
      </c>
      <c r="AF21" s="113">
        <v>2022</v>
      </c>
      <c r="AG21" s="113">
        <v>2023</v>
      </c>
      <c r="AH21" s="113">
        <v>2024</v>
      </c>
      <c r="AI21" s="114">
        <v>2025</v>
      </c>
      <c r="AJ21" s="104"/>
    </row>
    <row r="22" spans="3:36" ht="18" customHeight="1">
      <c r="C22" s="115">
        <f>'Ratio Calculations'!M29</f>
        <v>0.33029865974524464</v>
      </c>
      <c r="D22" s="115">
        <f>'Ratio Calculations'!N29</f>
        <v>0.3585846429342428</v>
      </c>
      <c r="E22" s="115">
        <f>'Ratio Calculations'!O29</f>
        <v>0.34809000689661401</v>
      </c>
      <c r="F22" s="115">
        <f>'Ratio Calculations'!P29</f>
        <v>0.38184560310585369</v>
      </c>
      <c r="G22" s="115">
        <f>'Ratio Calculations'!Q29</f>
        <v>0.38260521565547367</v>
      </c>
      <c r="H22" s="115">
        <f>'Ratio Calculations'!R29</f>
        <v>0.38787321390786828</v>
      </c>
      <c r="I22" s="104"/>
      <c r="K22" s="115">
        <f>'Ratio Calculations'!M33</f>
        <v>0.12331297564303036</v>
      </c>
      <c r="L22" s="115">
        <f>'Ratio Calculations'!N33</f>
        <v>0.10676663949046733</v>
      </c>
      <c r="M22" s="115">
        <f>'Ratio Calculations'!O33</f>
        <v>0.10720270275044189</v>
      </c>
      <c r="N22" s="115">
        <f>'Ratio Calculations'!P33</f>
        <v>0.11093614796020064</v>
      </c>
      <c r="O22" s="115">
        <f>'Ratio Calculations'!Q33</f>
        <v>9.9866729931756382E-2</v>
      </c>
      <c r="P22" s="115">
        <f>'Ratio Calculations'!R33</f>
        <v>9.2633430024596383E-2</v>
      </c>
      <c r="U22" s="118">
        <f>'Ratio Calculations'!M91</f>
        <v>3.1878371836037314</v>
      </c>
      <c r="V22" s="118">
        <f>'Ratio Calculations'!N91</f>
        <v>3.4232363686814966</v>
      </c>
      <c r="W22" s="118">
        <f>'Ratio Calculations'!O91</f>
        <v>3.541186549709336</v>
      </c>
      <c r="X22" s="118">
        <f>'Ratio Calculations'!P91</f>
        <v>2.8525388133438199</v>
      </c>
      <c r="Y22" s="118">
        <f>'Ratio Calculations'!Q91</f>
        <v>2.7842875443165465</v>
      </c>
      <c r="Z22" s="118">
        <f>'Ratio Calculations'!R91</f>
        <v>2.8316955500653558</v>
      </c>
      <c r="AC22" s="105"/>
      <c r="AD22" s="126">
        <f>'Ratio Calculations'!M100</f>
        <v>177.43429798443447</v>
      </c>
      <c r="AE22" s="126">
        <f>'Ratio Calculations'!N100</f>
        <v>157.36620488555624</v>
      </c>
      <c r="AF22" s="126">
        <f>'Ratio Calculations'!O100</f>
        <v>137.95268853930176</v>
      </c>
      <c r="AG22" s="126">
        <f>'Ratio Calculations'!P100</f>
        <v>125.53416469765563</v>
      </c>
      <c r="AH22" s="126">
        <f>'Ratio Calculations'!Q100</f>
        <v>113.92160490058072</v>
      </c>
      <c r="AI22" s="126">
        <f>'Ratio Calculations'!R100</f>
        <v>97.347929150536245</v>
      </c>
      <c r="AJ22" s="104"/>
    </row>
    <row r="23" spans="3:36" ht="18" customHeight="1">
      <c r="I23" s="104"/>
      <c r="J23" s="123"/>
      <c r="X23" s="130"/>
      <c r="AC23" s="105"/>
      <c r="AJ23" s="104"/>
    </row>
    <row r="24" spans="3:36" ht="18" customHeight="1">
      <c r="C24" s="109" t="str">
        <f>'Ratio Calculations'!B20</f>
        <v>Gross Margin</v>
      </c>
      <c r="D24" s="110"/>
      <c r="E24" s="110"/>
      <c r="F24" s="110"/>
      <c r="G24" s="110"/>
      <c r="H24" s="111"/>
      <c r="I24" s="104"/>
      <c r="K24" s="109" t="str">
        <f>'Ratio Calculations'!B26</f>
        <v>Other Operating Expenses % of Revenue</v>
      </c>
      <c r="L24" s="110"/>
      <c r="M24" s="110"/>
      <c r="N24" s="110"/>
      <c r="O24" s="110"/>
      <c r="P24" s="111"/>
      <c r="U24" s="109" t="str">
        <f>'Ratio Calculations'!B76</f>
        <v>PPE Turnover</v>
      </c>
      <c r="V24" s="110"/>
      <c r="W24" s="110"/>
      <c r="X24" s="110"/>
      <c r="Y24" s="110"/>
      <c r="Z24" s="111"/>
      <c r="AC24" s="105"/>
      <c r="AD24" s="109" t="str">
        <f>'Ratio Calculations'!B103</f>
        <v>Cash Conversion Cycle / WC Funding Gap</v>
      </c>
      <c r="AE24" s="110"/>
      <c r="AF24" s="110"/>
      <c r="AG24" s="110"/>
      <c r="AH24" s="110"/>
      <c r="AI24" s="111"/>
      <c r="AJ24" s="104"/>
    </row>
    <row r="25" spans="3:36" ht="18" customHeight="1">
      <c r="C25" s="112">
        <v>2020</v>
      </c>
      <c r="D25" s="113">
        <v>2021</v>
      </c>
      <c r="E25" s="113">
        <v>2022</v>
      </c>
      <c r="F25" s="113">
        <v>2023</v>
      </c>
      <c r="G25" s="113">
        <v>2024</v>
      </c>
      <c r="H25" s="114">
        <v>2025</v>
      </c>
      <c r="I25" s="104"/>
      <c r="K25" s="112">
        <v>2020</v>
      </c>
      <c r="L25" s="113">
        <v>2021</v>
      </c>
      <c r="M25" s="113">
        <v>2022</v>
      </c>
      <c r="N25" s="113">
        <v>2023</v>
      </c>
      <c r="O25" s="113">
        <v>2024</v>
      </c>
      <c r="P25" s="114">
        <v>2025</v>
      </c>
      <c r="U25" s="112">
        <v>2020</v>
      </c>
      <c r="V25" s="113">
        <v>2021</v>
      </c>
      <c r="W25" s="113">
        <v>2022</v>
      </c>
      <c r="X25" s="113">
        <v>2023</v>
      </c>
      <c r="Y25" s="113">
        <v>2024</v>
      </c>
      <c r="Z25" s="114">
        <v>2025</v>
      </c>
      <c r="AC25" s="105"/>
      <c r="AD25" s="112">
        <v>2020</v>
      </c>
      <c r="AE25" s="113">
        <v>2021</v>
      </c>
      <c r="AF25" s="113">
        <v>2022</v>
      </c>
      <c r="AG25" s="113">
        <v>2023</v>
      </c>
      <c r="AH25" s="113">
        <v>2024</v>
      </c>
      <c r="AI25" s="114">
        <v>2025</v>
      </c>
      <c r="AJ25" s="104"/>
    </row>
    <row r="26" spans="3:36" ht="18" customHeight="1">
      <c r="C26" s="115">
        <f>'Ratio Calculations'!M20</f>
        <v>0.57558926986898051</v>
      </c>
      <c r="D26" s="115">
        <f>'Ratio Calculations'!N20</f>
        <v>0.56671460354670478</v>
      </c>
      <c r="E26" s="115">
        <f>'Ratio Calculations'!O20</f>
        <v>0.53111189353857535</v>
      </c>
      <c r="F26" s="115">
        <f>'Ratio Calculations'!P20</f>
        <v>0.5467995255057414</v>
      </c>
      <c r="G26" s="115">
        <f>'Ratio Calculations'!Q20</f>
        <v>0.54620403470713241</v>
      </c>
      <c r="H26" s="115">
        <f>'Ratio Calculations'!R20</f>
        <v>0.55858670474608185</v>
      </c>
      <c r="I26" s="125"/>
      <c r="K26" s="115">
        <f>'Ratio Calculations'!M26</f>
        <v>0.14813847083204473</v>
      </c>
      <c r="L26" s="115">
        <f>'Ratio Calculations'!N26</f>
        <v>0.12664257178941926</v>
      </c>
      <c r="M26" s="115">
        <f>'Ratio Calculations'!O26</f>
        <v>9.9027251634560318E-2</v>
      </c>
      <c r="N26" s="115">
        <f>'Ratio Calculations'!P26</f>
        <v>8.7471730172092949E-2</v>
      </c>
      <c r="O26" s="115">
        <f>'Ratio Calculations'!Q26</f>
        <v>7.9553304133139463E-2</v>
      </c>
      <c r="P26" s="115">
        <f>'Ratio Calculations'!R26</f>
        <v>8.0801531759777251E-2</v>
      </c>
      <c r="U26" s="118">
        <f>'Ratio Calculations'!M76</f>
        <v>2.8205652886363453</v>
      </c>
      <c r="V26" s="118">
        <f>'Ratio Calculations'!N76</f>
        <v>3.1562255896361493</v>
      </c>
      <c r="W26" s="118">
        <f>'Ratio Calculations'!O76</f>
        <v>3.4951067514962357</v>
      </c>
      <c r="X26" s="118">
        <f>'Ratio Calculations'!P76</f>
        <v>3.7900876079228034</v>
      </c>
      <c r="Y26" s="118">
        <f>'Ratio Calculations'!Q76</f>
        <v>3.6508783978862458</v>
      </c>
      <c r="Z26" s="118">
        <f>'Ratio Calculations'!R76</f>
        <v>3.4723743871759973</v>
      </c>
      <c r="AC26" s="105"/>
      <c r="AD26" s="118">
        <f>'Ratio Calculations'!M103</f>
        <v>-43.497593788298389</v>
      </c>
      <c r="AE26" s="118">
        <f>'Ratio Calculations'!N103</f>
        <v>-34.93145079777274</v>
      </c>
      <c r="AF26" s="118">
        <f>'Ratio Calculations'!O103</f>
        <v>-18.230847825410351</v>
      </c>
      <c r="AG26" s="118">
        <f>'Ratio Calculations'!P103</f>
        <v>18.402154328519345</v>
      </c>
      <c r="AH26" s="118">
        <f>'Ratio Calculations'!Q103</f>
        <v>36.259926132076828</v>
      </c>
      <c r="AI26" s="118">
        <f>'Ratio Calculations'!R103</f>
        <v>49.955930791013188</v>
      </c>
      <c r="AJ26" s="104"/>
    </row>
    <row r="27" spans="3:36" ht="18" customHeight="1">
      <c r="I27" s="104"/>
      <c r="AC27" s="105"/>
      <c r="AJ27" s="104"/>
    </row>
    <row r="28" spans="3:36" ht="18" customHeight="1">
      <c r="I28" s="104"/>
      <c r="K28" s="109" t="str">
        <f>'Ratio Calculations'!B23</f>
        <v>SG&amp;A % of Revenue</v>
      </c>
      <c r="L28" s="110"/>
      <c r="M28" s="110"/>
      <c r="N28" s="110"/>
      <c r="O28" s="110"/>
      <c r="P28" s="111"/>
      <c r="AC28" s="106"/>
      <c r="AD28" s="107"/>
      <c r="AE28" s="107"/>
      <c r="AF28" s="107"/>
      <c r="AG28" s="107"/>
      <c r="AH28" s="107"/>
      <c r="AI28" s="107"/>
      <c r="AJ28" s="108"/>
    </row>
    <row r="29" spans="3:36" ht="18" customHeight="1">
      <c r="I29" s="104"/>
      <c r="K29" s="112">
        <v>2020</v>
      </c>
      <c r="L29" s="113">
        <v>2021</v>
      </c>
      <c r="M29" s="113">
        <v>2022</v>
      </c>
      <c r="N29" s="113">
        <v>2023</v>
      </c>
      <c r="O29" s="113">
        <v>2024</v>
      </c>
      <c r="P29" s="114">
        <v>2025</v>
      </c>
    </row>
    <row r="30" spans="3:36" ht="18" customHeight="1">
      <c r="H30" s="107"/>
      <c r="I30" s="107"/>
      <c r="J30" s="125"/>
      <c r="K30" s="115">
        <f>'Ratio Calculations'!M23</f>
        <v>9.7152139291691114E-2</v>
      </c>
      <c r="L30" s="115">
        <f>'Ratio Calculations'!N23</f>
        <v>8.148738882304267E-2</v>
      </c>
      <c r="M30" s="115">
        <f>'Ratio Calculations'!O23</f>
        <v>8.3994635007401008E-2</v>
      </c>
      <c r="N30" s="115">
        <f>'Ratio Calculations'!P23</f>
        <v>7.7482192227794761E-2</v>
      </c>
      <c r="O30" s="115">
        <f>'Ratio Calculations'!Q23</f>
        <v>8.4045514918519235E-2</v>
      </c>
      <c r="P30" s="115">
        <f>'Ratio Calculations'!R23</f>
        <v>8.9911959078436354E-2</v>
      </c>
      <c r="AC30" s="132" t="s">
        <v>191</v>
      </c>
      <c r="AD30" s="121"/>
      <c r="AE30" s="121"/>
      <c r="AF30" s="121"/>
      <c r="AG30" s="121"/>
      <c r="AH30" s="121"/>
      <c r="AI30" s="121"/>
      <c r="AJ30" s="122"/>
    </row>
    <row r="31" spans="3:36" ht="18" customHeight="1">
      <c r="C31" s="133" t="s">
        <v>192</v>
      </c>
      <c r="D31" s="121"/>
      <c r="E31" s="121"/>
      <c r="F31" s="121"/>
      <c r="G31" s="121"/>
      <c r="H31" s="134"/>
      <c r="I31" s="129"/>
      <c r="AC31" s="105"/>
      <c r="AD31" s="109" t="str">
        <f>'Ratio Calculations'!B117</f>
        <v>Debt to Equity</v>
      </c>
      <c r="AE31" s="110"/>
      <c r="AF31" s="110"/>
      <c r="AG31" s="110"/>
      <c r="AH31" s="110"/>
      <c r="AI31" s="111"/>
      <c r="AJ31" s="104"/>
    </row>
    <row r="32" spans="3:36" ht="18" customHeight="1">
      <c r="C32" s="105"/>
      <c r="D32" s="120" t="str">
        <f>'Ratio Calculations'!B147</f>
        <v>Revenue Growth</v>
      </c>
      <c r="E32" s="121"/>
      <c r="F32" s="121"/>
      <c r="G32" s="121"/>
      <c r="H32" s="121"/>
      <c r="I32" s="135"/>
      <c r="AC32" s="105"/>
      <c r="AD32" s="112">
        <v>2020</v>
      </c>
      <c r="AE32" s="113">
        <v>2021</v>
      </c>
      <c r="AF32" s="113">
        <v>2022</v>
      </c>
      <c r="AG32" s="113">
        <v>2023</v>
      </c>
      <c r="AH32" s="113">
        <v>2024</v>
      </c>
      <c r="AI32" s="114">
        <v>2025</v>
      </c>
      <c r="AJ32" s="104"/>
    </row>
    <row r="33" spans="3:36" ht="18" customHeight="1">
      <c r="C33" s="105"/>
      <c r="D33" s="112">
        <v>2021</v>
      </c>
      <c r="E33" s="113">
        <v>2022</v>
      </c>
      <c r="F33" s="113">
        <v>2023</v>
      </c>
      <c r="G33" s="113">
        <v>2024</v>
      </c>
      <c r="H33" s="113">
        <v>2025</v>
      </c>
      <c r="I33" s="135"/>
      <c r="AC33" s="105"/>
      <c r="AD33" s="118">
        <f>'Ratio Calculations'!M117</f>
        <v>1.522881124790689</v>
      </c>
      <c r="AE33" s="118">
        <f>'Ratio Calculations'!N117</f>
        <v>1.1892882207599114</v>
      </c>
      <c r="AF33" s="118">
        <f>'Ratio Calculations'!O117</f>
        <v>1.0804199982555147</v>
      </c>
      <c r="AG33" s="118">
        <f>'Ratio Calculations'!P117</f>
        <v>0.80673752744557947</v>
      </c>
      <c r="AH33" s="118">
        <f>'Ratio Calculations'!Q117</f>
        <v>0.94599572481442118</v>
      </c>
      <c r="AI33" s="118">
        <f>'Ratio Calculations'!R117</f>
        <v>0.7367586420765404</v>
      </c>
      <c r="AJ33" s="104"/>
    </row>
    <row r="34" spans="3:36" ht="18" customHeight="1">
      <c r="C34" s="105"/>
      <c r="D34" s="115">
        <f>'Ratio Calculations'!N147</f>
        <v>0.23443735024380091</v>
      </c>
      <c r="E34" s="115">
        <f>'Ratio Calculations'!O147</f>
        <v>0.19301813624969386</v>
      </c>
      <c r="F34" s="115">
        <f>'Ratio Calculations'!P147</f>
        <v>0.17170723971758817</v>
      </c>
      <c r="G34" s="115">
        <f>'Ratio Calculations'!Q147</f>
        <v>0.11834249949666223</v>
      </c>
      <c r="H34" s="115">
        <f>'Ratio Calculations'!R147</f>
        <v>7.0259596553250814E-2</v>
      </c>
      <c r="I34" s="135"/>
      <c r="AC34" s="105"/>
      <c r="AJ34" s="104"/>
    </row>
    <row r="35" spans="3:36" ht="18" customHeight="1">
      <c r="C35" s="105"/>
      <c r="I35" s="104"/>
      <c r="AC35" s="105"/>
      <c r="AD35" s="109" t="str">
        <f>'Ratio Calculations'!B120</f>
        <v>Debt to EBITDA</v>
      </c>
      <c r="AE35" s="110"/>
      <c r="AF35" s="110"/>
      <c r="AG35" s="110"/>
      <c r="AH35" s="110"/>
      <c r="AI35" s="111"/>
      <c r="AJ35" s="104"/>
    </row>
    <row r="36" spans="3:36" ht="18" customHeight="1">
      <c r="C36" s="105"/>
      <c r="D36" s="120" t="str">
        <f>'Ratio Calculations'!B150</f>
        <v>EBITDA Growth</v>
      </c>
      <c r="E36" s="121"/>
      <c r="F36" s="121"/>
      <c r="G36" s="121"/>
      <c r="H36" s="121"/>
      <c r="I36" s="135"/>
      <c r="AC36" s="105"/>
      <c r="AD36" s="112">
        <v>2020</v>
      </c>
      <c r="AE36" s="113">
        <v>2021</v>
      </c>
      <c r="AF36" s="113">
        <v>2022</v>
      </c>
      <c r="AG36" s="113">
        <v>2023</v>
      </c>
      <c r="AH36" s="113">
        <v>2024</v>
      </c>
      <c r="AI36" s="114">
        <v>2025</v>
      </c>
      <c r="AJ36" s="104"/>
    </row>
    <row r="37" spans="3:36" ht="18" customHeight="1">
      <c r="C37" s="105"/>
      <c r="D37" s="112">
        <v>2021</v>
      </c>
      <c r="E37" s="113">
        <v>2022</v>
      </c>
      <c r="F37" s="113">
        <v>2023</v>
      </c>
      <c r="G37" s="113">
        <v>2024</v>
      </c>
      <c r="H37" s="113">
        <v>2025</v>
      </c>
      <c r="I37" s="135"/>
      <c r="AC37" s="105"/>
      <c r="AD37" s="118">
        <f>'Ratio Calculations'!M120</f>
        <v>2.3843461992152362</v>
      </c>
      <c r="AE37" s="118">
        <f>'Ratio Calculations'!N120</f>
        <v>1.7173036225813381</v>
      </c>
      <c r="AF37" s="118">
        <f>'Ratio Calculations'!O120</f>
        <v>1.585345005968064</v>
      </c>
      <c r="AG37" s="118">
        <f>'Ratio Calculations'!P120</f>
        <v>1.086640458240959</v>
      </c>
      <c r="AH37" s="118">
        <f>'Ratio Calculations'!Q120</f>
        <v>1.3121359405729747</v>
      </c>
      <c r="AI37" s="118">
        <f>'Ratio Calculations'!R120</f>
        <v>1.0406140453419117</v>
      </c>
      <c r="AJ37" s="104"/>
    </row>
    <row r="38" spans="3:36" ht="18" customHeight="1">
      <c r="C38" s="105"/>
      <c r="D38" s="115">
        <f>'Ratio Calculations'!N150</f>
        <v>0.34015159735518447</v>
      </c>
      <c r="E38" s="115">
        <f>'Ratio Calculations'!O150</f>
        <v>0.15810227642987781</v>
      </c>
      <c r="F38" s="115">
        <f>'Ratio Calculations'!P150</f>
        <v>0.28533209442678115</v>
      </c>
      <c r="G38" s="115">
        <f>'Ratio Calculations'!Q150</f>
        <v>0.12056723899996227</v>
      </c>
      <c r="H38" s="115">
        <f>'Ratio Calculations'!R150</f>
        <v>8.4995740896165559E-2</v>
      </c>
      <c r="I38" s="135"/>
      <c r="AC38" s="105"/>
      <c r="AJ38" s="104"/>
    </row>
    <row r="39" spans="3:36" ht="18" customHeight="1">
      <c r="C39" s="105"/>
      <c r="I39" s="104"/>
      <c r="AC39" s="105"/>
      <c r="AD39" s="109" t="str">
        <f>'Ratio Calculations'!B132</f>
        <v>Current</v>
      </c>
      <c r="AE39" s="110"/>
      <c r="AF39" s="110"/>
      <c r="AG39" s="110"/>
      <c r="AH39" s="110"/>
      <c r="AI39" s="111"/>
      <c r="AJ39" s="104"/>
    </row>
    <row r="40" spans="3:36" ht="18" customHeight="1">
      <c r="C40" s="105"/>
      <c r="D40" s="120" t="str">
        <f>'Ratio Calculations'!B156</f>
        <v>Net Income Growth</v>
      </c>
      <c r="E40" s="121"/>
      <c r="F40" s="121"/>
      <c r="G40" s="121"/>
      <c r="H40" s="121"/>
      <c r="I40" s="135"/>
      <c r="AC40" s="105"/>
      <c r="AD40" s="112">
        <v>2020</v>
      </c>
      <c r="AE40" s="113">
        <v>2021</v>
      </c>
      <c r="AF40" s="113">
        <v>2022</v>
      </c>
      <c r="AG40" s="113">
        <v>2023</v>
      </c>
      <c r="AH40" s="113">
        <v>2024</v>
      </c>
      <c r="AI40" s="114">
        <v>2025</v>
      </c>
      <c r="AJ40" s="104"/>
    </row>
    <row r="41" spans="3:36" ht="18" customHeight="1">
      <c r="C41" s="105"/>
      <c r="D41" s="112">
        <v>2021</v>
      </c>
      <c r="E41" s="113">
        <v>2022</v>
      </c>
      <c r="F41" s="113">
        <v>2023</v>
      </c>
      <c r="G41" s="113">
        <v>2024</v>
      </c>
      <c r="H41" s="113">
        <v>2025</v>
      </c>
      <c r="I41" s="135"/>
      <c r="AC41" s="105"/>
      <c r="AD41" s="118">
        <f>'Ratio Calculations'!M132</f>
        <v>1.332397818180558</v>
      </c>
      <c r="AE41" s="118">
        <f>'Ratio Calculations'!N132</f>
        <v>1.5358353468885322</v>
      </c>
      <c r="AF41" s="118">
        <f>'Ratio Calculations'!O132</f>
        <v>1.3568797456317359</v>
      </c>
      <c r="AG41" s="118">
        <f>'Ratio Calculations'!P132</f>
        <v>1.4249938331408796</v>
      </c>
      <c r="AH41" s="118">
        <f>'Ratio Calculations'!Q132</f>
        <v>1.4400502937243003</v>
      </c>
      <c r="AI41" s="118">
        <f>'Ratio Calculations'!R132</f>
        <v>1.5040739982110884</v>
      </c>
      <c r="AJ41" s="104"/>
    </row>
    <row r="42" spans="3:36" ht="18" customHeight="1">
      <c r="C42" s="105"/>
      <c r="D42" s="115">
        <f>'Ratio Calculations'!N156</f>
        <v>0.36830902640914465</v>
      </c>
      <c r="E42" s="115">
        <f>'Ratio Calculations'!O156</f>
        <v>0.12741977300224694</v>
      </c>
      <c r="F42" s="115">
        <f>'Ratio Calculations'!P156</f>
        <v>0.33872568120311636</v>
      </c>
      <c r="G42" s="115">
        <f>'Ratio Calculations'!Q156</f>
        <v>0.21349119691567983</v>
      </c>
      <c r="H42" s="115">
        <f>'Ratio Calculations'!R156</f>
        <v>4.8234728978650818E-2</v>
      </c>
      <c r="I42" s="135"/>
      <c r="AC42" s="105"/>
      <c r="AJ42" s="104"/>
    </row>
    <row r="43" spans="3:36" ht="18" customHeight="1">
      <c r="C43" s="105"/>
      <c r="I43" s="104"/>
      <c r="AC43" s="105"/>
      <c r="AD43" s="109" t="str">
        <f>'Ratio Calculations'!B135</f>
        <v>Quick</v>
      </c>
      <c r="AE43" s="110"/>
      <c r="AF43" s="110"/>
      <c r="AG43" s="110"/>
      <c r="AH43" s="110"/>
      <c r="AI43" s="111"/>
      <c r="AJ43" s="104"/>
    </row>
    <row r="44" spans="3:36" ht="18" customHeight="1">
      <c r="C44" s="105"/>
      <c r="D44" s="120" t="str">
        <f>'Ratio Calculations'!B159</f>
        <v>Total Asset Growth</v>
      </c>
      <c r="E44" s="121"/>
      <c r="F44" s="121"/>
      <c r="G44" s="121"/>
      <c r="H44" s="121"/>
      <c r="I44" s="135"/>
      <c r="AC44" s="105"/>
      <c r="AD44" s="112">
        <v>2020</v>
      </c>
      <c r="AE44" s="113">
        <v>2021</v>
      </c>
      <c r="AF44" s="113">
        <v>2022</v>
      </c>
      <c r="AG44" s="113">
        <v>2023</v>
      </c>
      <c r="AH44" s="113">
        <v>2024</v>
      </c>
      <c r="AI44" s="114">
        <v>2025</v>
      </c>
      <c r="AJ44" s="104"/>
    </row>
    <row r="45" spans="3:36" ht="18" customHeight="1">
      <c r="C45" s="105"/>
      <c r="D45" s="112">
        <v>2021</v>
      </c>
      <c r="E45" s="113">
        <v>2022</v>
      </c>
      <c r="F45" s="113">
        <v>2023</v>
      </c>
      <c r="G45" s="113">
        <v>2024</v>
      </c>
      <c r="H45" s="113">
        <v>2025</v>
      </c>
      <c r="I45" s="135"/>
      <c r="AC45" s="105"/>
      <c r="AD45" s="118">
        <f>'Ratio Calculations'!M135</f>
        <v>1.1328697198046205</v>
      </c>
      <c r="AE45" s="118">
        <f>'Ratio Calculations'!N135</f>
        <v>1.2890150290664226</v>
      </c>
      <c r="AF45" s="118">
        <f>'Ratio Calculations'!O135</f>
        <v>1.1252712893013317</v>
      </c>
      <c r="AG45" s="118">
        <f>'Ratio Calculations'!P135</f>
        <v>1.0859009513050504</v>
      </c>
      <c r="AH45" s="118">
        <f>'Ratio Calculations'!Q135</f>
        <v>1.1278820925998918</v>
      </c>
      <c r="AI45" s="118">
        <f>'Ratio Calculations'!R135</f>
        <v>1.1567969441973702</v>
      </c>
      <c r="AJ45" s="104"/>
    </row>
    <row r="46" spans="3:36" ht="18" customHeight="1">
      <c r="C46" s="105"/>
      <c r="D46" s="115">
        <f>'Ratio Calculations'!N159</f>
        <v>9.6048145279011801E-2</v>
      </c>
      <c r="E46" s="115">
        <f>'Ratio Calculations'!O159</f>
        <v>0.13146606580748466</v>
      </c>
      <c r="F46" s="115">
        <f>'Ratio Calculations'!P159</f>
        <v>3.6762233700150006E-2</v>
      </c>
      <c r="G46" s="115">
        <f>'Ratio Calculations'!Q159</f>
        <v>0.17957744029792908</v>
      </c>
      <c r="H46" s="115">
        <f>'Ratio Calculations'!R159</f>
        <v>1.3815308304200019E-2</v>
      </c>
      <c r="I46" s="135"/>
      <c r="AC46" s="105"/>
      <c r="AJ46" s="104"/>
    </row>
    <row r="47" spans="3:36" ht="18" customHeight="1">
      <c r="C47" s="105"/>
      <c r="H47" s="131"/>
      <c r="I47" s="104"/>
      <c r="AC47" s="105"/>
      <c r="AD47" s="109" t="str">
        <f>'Ratio Calculations'!B138</f>
        <v>Interest Coverage</v>
      </c>
      <c r="AE47" s="110"/>
      <c r="AF47" s="110"/>
      <c r="AG47" s="110"/>
      <c r="AH47" s="110"/>
      <c r="AI47" s="111"/>
      <c r="AJ47" s="104"/>
    </row>
    <row r="48" spans="3:36" ht="18" customHeight="1">
      <c r="C48" s="105"/>
      <c r="D48" s="120" t="str">
        <f>'Ratio Calculations'!B162</f>
        <v>Degree of Operating Leverage</v>
      </c>
      <c r="E48" s="121"/>
      <c r="F48" s="121"/>
      <c r="G48" s="121"/>
      <c r="H48" s="121"/>
      <c r="I48" s="135"/>
      <c r="AC48" s="105"/>
      <c r="AD48" s="112">
        <v>2020</v>
      </c>
      <c r="AE48" s="113">
        <v>2021</v>
      </c>
      <c r="AF48" s="113">
        <v>2022</v>
      </c>
      <c r="AG48" s="113">
        <v>2023</v>
      </c>
      <c r="AH48" s="113">
        <v>2024</v>
      </c>
      <c r="AI48" s="114">
        <v>2025</v>
      </c>
      <c r="AJ48" s="104"/>
    </row>
    <row r="49" spans="3:36" ht="18" customHeight="1">
      <c r="C49" s="105"/>
      <c r="D49" s="112">
        <v>2021</v>
      </c>
      <c r="E49" s="113">
        <v>2022</v>
      </c>
      <c r="F49" s="113">
        <v>2023</v>
      </c>
      <c r="G49" s="113">
        <v>2024</v>
      </c>
      <c r="H49" s="113">
        <v>2025</v>
      </c>
      <c r="I49" s="135"/>
      <c r="AC49" s="105"/>
      <c r="AD49" s="118">
        <f>'Ratio Calculations'!M138</f>
        <v>23.278008636845108</v>
      </c>
      <c r="AE49" s="118">
        <f>'Ratio Calculations'!N138</f>
        <v>20.083363932018464</v>
      </c>
      <c r="AF49" s="118">
        <f>'Ratio Calculations'!O138</f>
        <v>13.288033624526125</v>
      </c>
      <c r="AG49" s="118">
        <f>'Ratio Calculations'!P138</f>
        <v>15.472830439681269</v>
      </c>
      <c r="AH49" s="118">
        <f>'Ratio Calculations'!Q138</f>
        <v>17.509359470852324</v>
      </c>
      <c r="AI49" s="118">
        <f>'Ratio Calculations'!R138</f>
        <v>12.937981384145715</v>
      </c>
      <c r="AJ49" s="104"/>
    </row>
    <row r="50" spans="3:36" ht="18" customHeight="1">
      <c r="C50" s="105"/>
      <c r="D50" s="118">
        <f>'Ratio Calculations'!N162</f>
        <v>2.1404943749114556</v>
      </c>
      <c r="E50" s="118">
        <f>'Ratio Calculations'!O162</f>
        <v>0.73170653226992988</v>
      </c>
      <c r="F50" s="118">
        <f>'Ratio Calculations'!P162</f>
        <v>1.8504688280939576</v>
      </c>
      <c r="G50" s="118">
        <f>'Ratio Calculations'!Q162</f>
        <v>1.4126283690195622</v>
      </c>
      <c r="H50" s="118">
        <f>'Ratio Calculations'!R162</f>
        <v>1.6735249133027801</v>
      </c>
      <c r="I50" s="135"/>
      <c r="AC50" s="105"/>
      <c r="AJ50" s="104"/>
    </row>
    <row r="51" spans="3:36" ht="18" customHeight="1">
      <c r="C51" s="106"/>
      <c r="D51" s="107"/>
      <c r="E51" s="107"/>
      <c r="F51" s="107"/>
      <c r="G51" s="107"/>
      <c r="H51" s="107"/>
      <c r="I51" s="108"/>
      <c r="AC51" s="105"/>
      <c r="AJ51" s="104"/>
    </row>
    <row r="52" spans="3:36" ht="18" customHeight="1">
      <c r="AC52" s="106"/>
      <c r="AD52" s="107"/>
      <c r="AE52" s="107"/>
      <c r="AF52" s="107"/>
      <c r="AG52" s="107"/>
      <c r="AH52" s="107"/>
      <c r="AI52" s="107"/>
      <c r="AJ52" s="108"/>
    </row>
  </sheetData>
  <sheetProtection algorithmName="SHA-512" hashValue="58GPPtpiBiNiZyJG7m3SzoQbtDP6M4YbklEpN3tQ1UP4009mfo3q+XSlwVg/dqCsDG3g8BmisdPhY8z0Y0U69A==" saltValue="sI/Th5q98avaJBu0z5vQWg==" spinCount="100000" sheet="1" objects="1" scenarios="1"/>
  <conditionalFormatting sqref="C14:H14">
    <cfRule type="colorScale" priority="75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76">
      <colorScale>
        <cfvo type="min"/>
        <cfvo type="max"/>
        <color rgb="FFFCFCFF"/>
        <color rgb="FF63BE7B"/>
      </colorScale>
    </cfRule>
  </conditionalFormatting>
  <conditionalFormatting sqref="C18:H18">
    <cfRule type="colorScale" priority="72">
      <colorScale>
        <cfvo type="min"/>
        <cfvo type="max"/>
        <color rgb="FFFCFCFF"/>
        <color rgb="FF63BE7B"/>
      </colorScale>
    </cfRule>
    <cfRule type="colorScale" priority="71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C22:H22">
    <cfRule type="colorScale" priority="70">
      <colorScale>
        <cfvo type="min"/>
        <cfvo type="max"/>
        <color rgb="FFFCFCFF"/>
        <color rgb="FF63BE7B"/>
      </colorScale>
    </cfRule>
    <cfRule type="colorScale" priority="69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C26:H26">
    <cfRule type="colorScale" priority="68">
      <colorScale>
        <cfvo type="min"/>
        <cfvo type="max"/>
        <color rgb="FFFCFCFF"/>
        <color rgb="FF63BE7B"/>
      </colorScale>
    </cfRule>
    <cfRule type="colorScale" priority="67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D34:H34">
    <cfRule type="colorScale" priority="31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32">
      <colorScale>
        <cfvo type="min"/>
        <cfvo type="max"/>
        <color rgb="FFFCFCFF"/>
        <color rgb="FF63BE7B"/>
      </colorScale>
    </cfRule>
  </conditionalFormatting>
  <conditionalFormatting sqref="D38:H38">
    <cfRule type="colorScale" priority="29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30">
      <colorScale>
        <cfvo type="min"/>
        <cfvo type="max"/>
        <color rgb="FFFCFCFF"/>
        <color rgb="FF63BE7B"/>
      </colorScale>
    </cfRule>
  </conditionalFormatting>
  <conditionalFormatting sqref="D42:H42">
    <cfRule type="colorScale" priority="27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28">
      <colorScale>
        <cfvo type="min"/>
        <cfvo type="max"/>
        <color rgb="FFFCFCFF"/>
        <color rgb="FF63BE7B"/>
      </colorScale>
    </cfRule>
  </conditionalFormatting>
  <conditionalFormatting sqref="D46:H46">
    <cfRule type="colorScale" priority="25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26">
      <colorScale>
        <cfvo type="min"/>
        <cfvo type="max"/>
        <color rgb="FFFCFCFF"/>
        <color rgb="FF63BE7B"/>
      </colorScale>
    </cfRule>
  </conditionalFormatting>
  <conditionalFormatting sqref="D50:H50">
    <cfRule type="colorScale" priority="21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22">
      <colorScale>
        <cfvo type="min"/>
        <cfvo type="max"/>
        <color rgb="FFFCFCFF"/>
        <color rgb="FF63BE7B"/>
      </colorScale>
    </cfRule>
  </conditionalFormatting>
  <conditionalFormatting sqref="G10:L10">
    <cfRule type="colorScale" priority="82">
      <colorScale>
        <cfvo type="min"/>
        <cfvo type="max"/>
        <color rgb="FFFCFCFF"/>
        <color rgb="FF63BE7B"/>
      </colorScale>
    </cfRule>
    <cfRule type="colorScale" priority="81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K14:P14">
    <cfRule type="colorScale" priority="74">
      <colorScale>
        <cfvo type="min"/>
        <cfvo type="max"/>
        <color rgb="FFFCFCFF"/>
        <color rgb="FF63BE7B"/>
      </colorScale>
    </cfRule>
    <cfRule type="colorScale" priority="73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K18:P18">
    <cfRule type="colorScale" priority="66">
      <colorScale>
        <cfvo type="min"/>
        <cfvo type="max"/>
        <color rgb="FFFCFCFF"/>
        <color rgb="FF63BE7B"/>
      </colorScale>
    </cfRule>
    <cfRule type="colorScale" priority="65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K22:P22">
    <cfRule type="colorScale" priority="64">
      <colorScale>
        <cfvo type="min"/>
        <cfvo type="max"/>
        <color rgb="FFFCFCFF"/>
        <color rgb="FF63BE7B"/>
      </colorScale>
    </cfRule>
    <cfRule type="colorScale" priority="63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K26:P26">
    <cfRule type="colorScale" priority="61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62">
      <colorScale>
        <cfvo type="min"/>
        <cfvo type="max"/>
        <color rgb="FFFCFCFF"/>
        <color rgb="FF63BE7B"/>
      </colorScale>
    </cfRule>
  </conditionalFormatting>
  <conditionalFormatting sqref="K30:P30">
    <cfRule type="colorScale" priority="59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60">
      <colorScale>
        <cfvo type="min"/>
        <cfvo type="max"/>
        <color rgb="FFFCFCFF"/>
        <color rgb="FF63BE7B"/>
      </colorScale>
    </cfRule>
  </conditionalFormatting>
  <conditionalFormatting sqref="N6:S7">
    <cfRule type="colorScale" priority="84">
      <colorScale>
        <cfvo type="min"/>
        <cfvo type="max"/>
        <color rgb="FFFCFCFF"/>
        <color rgb="FF63BE7B"/>
      </colorScale>
    </cfRule>
    <cfRule type="colorScale" priority="83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N10:S10">
    <cfRule type="colorScale" priority="80">
      <colorScale>
        <cfvo type="min"/>
        <cfvo type="max"/>
        <color rgb="FFFCFCFF"/>
        <color rgb="FF63BE7B"/>
      </colorScale>
    </cfRule>
    <cfRule type="colorScale" priority="79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U10:Z10">
    <cfRule type="colorScale" priority="78">
      <colorScale>
        <cfvo type="min"/>
        <cfvo type="max"/>
        <color rgb="FFFCFCFF"/>
        <color rgb="FF63BE7B"/>
      </colorScale>
    </cfRule>
    <cfRule type="colorScale" priority="77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U14:Z14">
    <cfRule type="colorScale" priority="49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50">
      <colorScale>
        <cfvo type="min"/>
        <cfvo type="max"/>
        <color rgb="FFFCFCFF"/>
        <color rgb="FF63BE7B"/>
      </colorScale>
    </cfRule>
  </conditionalFormatting>
  <conditionalFormatting sqref="U18:Z18">
    <cfRule type="colorScale" priority="47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48">
      <colorScale>
        <cfvo type="min"/>
        <cfvo type="max"/>
        <color rgb="FFFCFCFF"/>
        <color rgb="FF63BE7B"/>
      </colorScale>
    </cfRule>
  </conditionalFormatting>
  <conditionalFormatting sqref="U22:Z22">
    <cfRule type="colorScale" priority="45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46">
      <colorScale>
        <cfvo type="min"/>
        <cfvo type="max"/>
        <color rgb="FFFCFCFF"/>
        <color rgb="FF63BE7B"/>
      </colorScale>
    </cfRule>
  </conditionalFormatting>
  <conditionalFormatting sqref="U26:Z26">
    <cfRule type="colorScale" priority="44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AD10:AI10">
    <cfRule type="colorScale" priority="20">
      <colorScale>
        <cfvo type="min"/>
        <cfvo type="max"/>
        <color rgb="FFFCFCFF"/>
        <color rgb="FF63BE7B"/>
      </colorScale>
    </cfRule>
    <cfRule type="colorScale" priority="19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AD14:AI14">
    <cfRule type="colorScale" priority="17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18">
      <colorScale>
        <cfvo type="min"/>
        <cfvo type="max"/>
        <color rgb="FFFCFCFF"/>
        <color rgb="FF63BE7B"/>
      </colorScale>
    </cfRule>
  </conditionalFormatting>
  <conditionalFormatting sqref="AD18:AI18">
    <cfRule type="colorScale" priority="16">
      <colorScale>
        <cfvo type="min"/>
        <cfvo type="max"/>
        <color rgb="FFFCFCFF"/>
        <color rgb="FF63BE7B"/>
      </colorScale>
    </cfRule>
    <cfRule type="colorScale" priority="15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AD22:AI22">
    <cfRule type="colorScale" priority="14">
      <colorScale>
        <cfvo type="min"/>
        <cfvo type="max"/>
        <color rgb="FFFCFCFF"/>
        <color rgb="FF63BE7B"/>
      </colorScale>
    </cfRule>
    <cfRule type="colorScale" priority="13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AD26:AI26">
    <cfRule type="colorScale" priority="12">
      <colorScale>
        <cfvo type="min"/>
        <cfvo type="max"/>
        <color rgb="FFFCFCFF"/>
        <color rgb="FF63BE7B"/>
      </colorScale>
    </cfRule>
    <cfRule type="colorScale" priority="11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AD33:AI33">
    <cfRule type="colorScale" priority="10">
      <colorScale>
        <cfvo type="min"/>
        <cfvo type="max"/>
        <color rgb="FFFCFCFF"/>
        <color rgb="FF63BE7B"/>
      </colorScale>
    </cfRule>
    <cfRule type="colorScale" priority="9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AD37:AI37">
    <cfRule type="colorScale" priority="8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AD41:AI41">
    <cfRule type="colorScale" priority="6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AD45:AI45">
    <cfRule type="colorScale" priority="4">
      <colorScale>
        <cfvo type="min"/>
        <cfvo type="max"/>
        <color rgb="FFFCFCFF"/>
        <color rgb="FF63BE7B"/>
      </colorScale>
    </cfRule>
    <cfRule type="colorScale" priority="3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AD49:AI49">
    <cfRule type="colorScale" priority="2">
      <colorScale>
        <cfvo type="min"/>
        <cfvo type="max"/>
        <color rgb="FFFCFCFF"/>
        <color rgb="FF63BE7B"/>
      </colorScale>
    </cfRule>
    <cfRule type="colorScale" priority="1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hyperlinks>
    <hyperlink ref="AJ1" r:id="rId1" xr:uid="{0A8C398D-095B-4367-91EB-3F097A2315EE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D5C9-6441-4DB0-BC1B-AD9AFAB37E09}">
  <dimension ref="B1:AT52"/>
  <sheetViews>
    <sheetView showGridLines="0" tabSelected="1" topLeftCell="X1" workbookViewId="0">
      <selection activeCell="AT1" sqref="AT1"/>
    </sheetView>
  </sheetViews>
  <sheetFormatPr defaultRowHeight="15"/>
  <cols>
    <col min="40" max="45" width="10.5703125" bestFit="1" customWidth="1"/>
    <col min="46" max="46" width="11.28515625" customWidth="1"/>
  </cols>
  <sheetData>
    <row r="1" spans="2:46" ht="63.75" customHeight="1"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138" t="s">
        <v>193</v>
      </c>
    </row>
    <row r="4" spans="2:46">
      <c r="X4" s="109" t="str">
        <f>'Ratio Calculations'!B8</f>
        <v>Return on Equity</v>
      </c>
      <c r="Y4" s="110"/>
      <c r="Z4" s="110"/>
      <c r="AA4" s="110"/>
      <c r="AB4" s="110"/>
      <c r="AC4" s="111"/>
    </row>
    <row r="5" spans="2:46">
      <c r="X5" s="112">
        <v>2020</v>
      </c>
      <c r="Y5" s="113">
        <v>2021</v>
      </c>
      <c r="Z5" s="113">
        <v>2022</v>
      </c>
      <c r="AA5" s="113">
        <v>2023</v>
      </c>
      <c r="AB5" s="113">
        <v>2024</v>
      </c>
      <c r="AC5" s="114">
        <v>2025</v>
      </c>
    </row>
    <row r="6" spans="2:46" ht="15.75">
      <c r="X6" s="115">
        <f>'Ratio Calculations'!M8</f>
        <v>0.34030775696902088</v>
      </c>
      <c r="Y6" s="116">
        <f>'Ratio Calculations'!N8</f>
        <v>0.37674322696408091</v>
      </c>
      <c r="Z6" s="116">
        <f>'Ratio Calculations'!O8</f>
        <v>0.36092168760112925</v>
      </c>
      <c r="AA6" s="116">
        <f>'Ratio Calculations'!P8</f>
        <v>0.40951214444500167</v>
      </c>
      <c r="AB6" s="116">
        <f>'Ratio Calculations'!Q8</f>
        <v>0.43065495459238134</v>
      </c>
      <c r="AC6" s="117">
        <f>'Ratio Calculations'!R8</f>
        <v>0.40858759019112884</v>
      </c>
      <c r="AM6" s="120" t="s">
        <v>190</v>
      </c>
      <c r="AN6" s="121"/>
      <c r="AO6" s="121"/>
      <c r="AP6" s="121"/>
      <c r="AQ6" s="121"/>
      <c r="AR6" s="121"/>
      <c r="AS6" s="121"/>
      <c r="AT6" s="122"/>
    </row>
    <row r="7" spans="2:46" ht="15.75">
      <c r="X7" s="103"/>
      <c r="Y7" s="103"/>
      <c r="Z7" s="127"/>
      <c r="AA7" s="103"/>
      <c r="AB7" s="103"/>
      <c r="AC7" s="103"/>
      <c r="AM7" s="105"/>
      <c r="AT7" s="104"/>
    </row>
    <row r="8" spans="2:46">
      <c r="C8" s="109" t="str">
        <f>'Ratio Calculations'!B58</f>
        <v>Tax Burden</v>
      </c>
      <c r="D8" s="110"/>
      <c r="E8" s="110"/>
      <c r="F8" s="110"/>
      <c r="G8" s="110"/>
      <c r="H8" s="111"/>
      <c r="J8" s="109" t="str">
        <f>'Ratio Calculations'!B64</f>
        <v>Interest Burden</v>
      </c>
      <c r="K8" s="110"/>
      <c r="L8" s="110"/>
      <c r="M8" s="110"/>
      <c r="N8" s="110"/>
      <c r="O8" s="111"/>
      <c r="Q8" s="109" t="str">
        <f>'Ratio Calculations'!B36</f>
        <v>EBIT Margin</v>
      </c>
      <c r="R8" s="110"/>
      <c r="S8" s="110"/>
      <c r="T8" s="110"/>
      <c r="U8" s="110"/>
      <c r="V8" s="111"/>
      <c r="X8" s="109" t="str">
        <f>'Ratio Calculations'!B111</f>
        <v>Total Asset to Equity</v>
      </c>
      <c r="Y8" s="110"/>
      <c r="Z8" s="110"/>
      <c r="AA8" s="110"/>
      <c r="AB8" s="110"/>
      <c r="AC8" s="111"/>
      <c r="AE8" s="109" t="str">
        <f>'Ratio Calculations'!B73</f>
        <v>Asset Turnover</v>
      </c>
      <c r="AF8" s="110"/>
      <c r="AG8" s="110"/>
      <c r="AH8" s="110"/>
      <c r="AI8" s="110"/>
      <c r="AJ8" s="111"/>
      <c r="AM8" s="105"/>
      <c r="AN8" s="109" t="str">
        <f>'Ratio Calculations'!B82</f>
        <v>Cash Days</v>
      </c>
      <c r="AO8" s="110"/>
      <c r="AP8" s="110"/>
      <c r="AQ8" s="110"/>
      <c r="AR8" s="110"/>
      <c r="AS8" s="111"/>
      <c r="AT8" s="104"/>
    </row>
    <row r="9" spans="2:46">
      <c r="C9" s="112">
        <v>2020</v>
      </c>
      <c r="D9" s="113">
        <v>2021</v>
      </c>
      <c r="E9" s="113">
        <v>2022</v>
      </c>
      <c r="F9" s="113">
        <v>2023</v>
      </c>
      <c r="G9" s="113">
        <v>2024</v>
      </c>
      <c r="H9" s="114">
        <v>2025</v>
      </c>
      <c r="I9" s="128"/>
      <c r="J9" s="112">
        <v>2020</v>
      </c>
      <c r="K9" s="113">
        <v>2021</v>
      </c>
      <c r="L9" s="113">
        <v>2022</v>
      </c>
      <c r="M9" s="113">
        <v>2023</v>
      </c>
      <c r="N9" s="113">
        <v>2024</v>
      </c>
      <c r="O9" s="114">
        <v>2025</v>
      </c>
      <c r="P9" s="128"/>
      <c r="Q9" s="112">
        <v>2020</v>
      </c>
      <c r="R9" s="113">
        <v>2021</v>
      </c>
      <c r="S9" s="113">
        <v>2022</v>
      </c>
      <c r="T9" s="113">
        <v>2023</v>
      </c>
      <c r="U9" s="113">
        <v>2024</v>
      </c>
      <c r="V9" s="114">
        <v>2025</v>
      </c>
      <c r="W9" s="128"/>
      <c r="X9" s="112">
        <v>2020</v>
      </c>
      <c r="Y9" s="113">
        <v>2021</v>
      </c>
      <c r="Z9" s="113">
        <v>2022</v>
      </c>
      <c r="AA9" s="113">
        <v>2023</v>
      </c>
      <c r="AB9" s="113">
        <v>2024</v>
      </c>
      <c r="AC9" s="114">
        <v>2025</v>
      </c>
      <c r="AD9" s="128"/>
      <c r="AE9" s="112">
        <v>2020</v>
      </c>
      <c r="AF9" s="113">
        <v>2021</v>
      </c>
      <c r="AG9" s="113">
        <v>2022</v>
      </c>
      <c r="AH9" s="113">
        <v>2023</v>
      </c>
      <c r="AI9" s="113">
        <v>2024</v>
      </c>
      <c r="AJ9" s="114">
        <v>2025</v>
      </c>
      <c r="AM9" s="105"/>
      <c r="AN9" s="112">
        <v>2020</v>
      </c>
      <c r="AO9" s="113">
        <v>2021</v>
      </c>
      <c r="AP9" s="113">
        <v>2022</v>
      </c>
      <c r="AQ9" s="113">
        <v>2023</v>
      </c>
      <c r="AR9" s="113">
        <v>2024</v>
      </c>
      <c r="AS9" s="114">
        <v>2025</v>
      </c>
      <c r="AT9" s="104"/>
    </row>
    <row r="10" spans="2:46" ht="15.75">
      <c r="C10" s="115">
        <f>'Ratio Calculations'!M58</f>
        <v>0.91281566934268821</v>
      </c>
      <c r="D10" s="115">
        <f>'Ratio Calculations'!N58</f>
        <v>0.79937748925142316</v>
      </c>
      <c r="E10" s="115">
        <f>'Ratio Calculations'!O58</f>
        <v>0.79752174880239368</v>
      </c>
      <c r="F10" s="115">
        <f>'Ratio Calculations'!P58</f>
        <v>0.78475605265752757</v>
      </c>
      <c r="G10" s="115">
        <f>'Ratio Calculations'!Q58</f>
        <v>0.80780759318904194</v>
      </c>
      <c r="H10" s="115">
        <f>'Ratio Calculations'!R58</f>
        <v>0.77509626222479377</v>
      </c>
      <c r="J10" s="115">
        <f>'Ratio Calculations'!M64</f>
        <v>0.9314479135684034</v>
      </c>
      <c r="K10" s="115">
        <f>'Ratio Calculations'!N64</f>
        <v>0.96907729328453684</v>
      </c>
      <c r="L10" s="115">
        <f>'Ratio Calculations'!O64</f>
        <v>0.95957574740382379</v>
      </c>
      <c r="M10" s="115">
        <f>'Ratio Calculations'!P64</f>
        <v>0.9907164042342842</v>
      </c>
      <c r="N10" s="115">
        <f>'Ratio Calculations'!Q64</f>
        <v>1.0006383257113889</v>
      </c>
      <c r="O10" s="115">
        <f>'Ratio Calculations'!R64</f>
        <v>0.97815771324562795</v>
      </c>
      <c r="Q10" s="115">
        <f>'Ratio Calculations'!M36</f>
        <v>0.2069856841022143</v>
      </c>
      <c r="R10" s="115">
        <f>'Ratio Calculations'!N36</f>
        <v>0.25181800344377547</v>
      </c>
      <c r="S10" s="115">
        <f>'Ratio Calculations'!O36</f>
        <v>0.2408873041461721</v>
      </c>
      <c r="T10" s="115">
        <f>'Ratio Calculations'!P36</f>
        <v>0.27090945514565307</v>
      </c>
      <c r="U10" s="115">
        <f>'Ratio Calculations'!Q36</f>
        <v>0.28273848572371729</v>
      </c>
      <c r="V10" s="115">
        <f>'Ratio Calculations'!R36</f>
        <v>0.29523978388327188</v>
      </c>
      <c r="X10" s="118">
        <f>'Ratio Calculations'!M111</f>
        <v>3.4999066624040633</v>
      </c>
      <c r="Y10" s="118">
        <f>'Ratio Calculations'!N111</f>
        <v>3.1036697753837359</v>
      </c>
      <c r="Z10" s="118">
        <f>'Ratio Calculations'!O111</f>
        <v>2.9840006885721233</v>
      </c>
      <c r="AA10" s="118">
        <f>'Ratio Calculations'!P111</f>
        <v>2.6220459568126588</v>
      </c>
      <c r="AB10" s="118">
        <f>'Ratio Calculations'!Q111</f>
        <v>2.6803579099117814</v>
      </c>
      <c r="AC10" s="118">
        <f>'Ratio Calculations'!R111</f>
        <v>2.4595112525934022</v>
      </c>
      <c r="AE10" s="118">
        <f>'Ratio Calculations'!M73</f>
        <v>0.55250144241970711</v>
      </c>
      <c r="AF10" s="118">
        <f>'Ratio Calculations'!N73</f>
        <v>0.62226136645926533</v>
      </c>
      <c r="AG10" s="118">
        <f>'Ratio Calculations'!O73</f>
        <v>0.6561125588363268</v>
      </c>
      <c r="AH10" s="118">
        <f>'Ratio Calculations'!P73</f>
        <v>0.74151219080815645</v>
      </c>
      <c r="AI10" s="118">
        <f>'Ratio Calculations'!Q73</f>
        <v>0.70301835941029023</v>
      </c>
      <c r="AJ10" s="118">
        <f>'Ratio Calculations'!R73</f>
        <v>0.74215899044820965</v>
      </c>
      <c r="AM10" s="105"/>
      <c r="AN10" s="126">
        <f>'Ratio Calculations'!M82</f>
        <v>143.73074377346603</v>
      </c>
      <c r="AO10" s="126">
        <f>'Ratio Calculations'!N82</f>
        <v>114.8736751602826</v>
      </c>
      <c r="AP10" s="126">
        <f>'Ratio Calculations'!O82</f>
        <v>99.494326484999576</v>
      </c>
      <c r="AQ10" s="126">
        <f>'Ratio Calculations'!P82</f>
        <v>68.595150771857178</v>
      </c>
      <c r="AR10" s="126">
        <f>'Ratio Calculations'!Q82</f>
        <v>95.243332452654528</v>
      </c>
      <c r="AS10" s="126">
        <f>'Ratio Calculations'!R82</f>
        <v>74.969480537291446</v>
      </c>
      <c r="AT10" s="104"/>
    </row>
    <row r="11" spans="2:46">
      <c r="S11" s="125"/>
      <c r="AH11" s="130"/>
      <c r="AM11" s="105"/>
      <c r="AT11" s="104"/>
    </row>
    <row r="12" spans="2:46">
      <c r="S12" s="104"/>
      <c r="AE12" s="109" t="str">
        <f>'Ratio Calculations'!B79</f>
        <v>Cash Turnover</v>
      </c>
      <c r="AF12" s="110"/>
      <c r="AG12" s="110"/>
      <c r="AH12" s="110"/>
      <c r="AI12" s="110"/>
      <c r="AJ12" s="111"/>
      <c r="AM12" s="105"/>
      <c r="AN12" s="109" t="str">
        <f>'Ratio Calculations'!B88</f>
        <v>A/R Days</v>
      </c>
      <c r="AO12" s="110"/>
      <c r="AP12" s="110"/>
      <c r="AQ12" s="110"/>
      <c r="AR12" s="110"/>
      <c r="AS12" s="111"/>
      <c r="AT12" s="104"/>
    </row>
    <row r="13" spans="2:46">
      <c r="M13" s="109" t="str">
        <f>'3 Step DuPont Pyramid '!C20</f>
        <v>EBITDA Margin</v>
      </c>
      <c r="N13" s="110"/>
      <c r="O13" s="110"/>
      <c r="P13" s="110"/>
      <c r="Q13" s="110"/>
      <c r="R13" s="111"/>
      <c r="S13" s="104"/>
      <c r="U13" s="109" t="str">
        <f>'3 Step DuPont Pyramid '!K20</f>
        <v>Depreciation % of Revenue</v>
      </c>
      <c r="V13" s="110"/>
      <c r="W13" s="110"/>
      <c r="X13" s="110"/>
      <c r="Y13" s="110"/>
      <c r="Z13" s="111"/>
      <c r="AE13" s="112">
        <v>2020</v>
      </c>
      <c r="AF13" s="113">
        <v>2021</v>
      </c>
      <c r="AG13" s="113">
        <v>2022</v>
      </c>
      <c r="AH13" s="113">
        <v>2023</v>
      </c>
      <c r="AI13" s="113">
        <v>2024</v>
      </c>
      <c r="AJ13" s="114">
        <v>2025</v>
      </c>
      <c r="AM13" s="105"/>
      <c r="AN13" s="112">
        <v>2020</v>
      </c>
      <c r="AO13" s="113">
        <v>2021</v>
      </c>
      <c r="AP13" s="113">
        <v>2022</v>
      </c>
      <c r="AQ13" s="113">
        <v>2023</v>
      </c>
      <c r="AR13" s="113">
        <v>2024</v>
      </c>
      <c r="AS13" s="114">
        <v>2025</v>
      </c>
      <c r="AT13" s="104"/>
    </row>
    <row r="14" spans="2:46" ht="15.75">
      <c r="M14" s="112">
        <v>2020</v>
      </c>
      <c r="N14" s="113">
        <v>2021</v>
      </c>
      <c r="O14" s="113">
        <v>2022</v>
      </c>
      <c r="P14" s="113">
        <v>2023</v>
      </c>
      <c r="Q14" s="113">
        <v>2024</v>
      </c>
      <c r="R14" s="114">
        <v>2025</v>
      </c>
      <c r="S14" s="128"/>
      <c r="T14" s="128"/>
      <c r="U14" s="112">
        <v>2020</v>
      </c>
      <c r="V14" s="113">
        <v>2021</v>
      </c>
      <c r="W14" s="113">
        <v>2022</v>
      </c>
      <c r="X14" s="113">
        <v>2023</v>
      </c>
      <c r="Y14" s="113">
        <v>2024</v>
      </c>
      <c r="Z14" s="114">
        <v>2025</v>
      </c>
      <c r="AE14" s="118">
        <f>'Ratio Calculations'!M79</f>
        <v>2.5394706130184392</v>
      </c>
      <c r="AF14" s="118">
        <f>'Ratio Calculations'!N79</f>
        <v>3.1774033475530188</v>
      </c>
      <c r="AG14" s="118">
        <f>'Ratio Calculations'!O79</f>
        <v>3.6685508902362369</v>
      </c>
      <c r="AH14" s="118">
        <f>'Ratio Calculations'!P79</f>
        <v>5.3210758470954502</v>
      </c>
      <c r="AI14" s="118">
        <f>'Ratio Calculations'!Q79</f>
        <v>3.8322892595283933</v>
      </c>
      <c r="AJ14" s="118">
        <f>'Ratio Calculations'!R79</f>
        <v>4.8686478468853878</v>
      </c>
      <c r="AM14" s="105"/>
      <c r="AN14" s="126">
        <f>'Ratio Calculations'!M88</f>
        <v>19.439012194381739</v>
      </c>
      <c r="AO14" s="126">
        <f>'Ratio Calculations'!N88</f>
        <v>15.810507120991531</v>
      </c>
      <c r="AP14" s="126">
        <f>'Ratio Calculations'!O88</f>
        <v>16.649044385225938</v>
      </c>
      <c r="AQ14" s="126">
        <f>'Ratio Calculations'!P88</f>
        <v>15.980128459170011</v>
      </c>
      <c r="AR14" s="126">
        <f>'Ratio Calculations'!Q88</f>
        <v>19.088749058662195</v>
      </c>
      <c r="AS14" s="126">
        <f>'Ratio Calculations'!R88</f>
        <v>18.405822159353619</v>
      </c>
      <c r="AT14" s="104"/>
    </row>
    <row r="15" spans="2:46" ht="15.75">
      <c r="M15" s="115">
        <f>'3 Step DuPont Pyramid '!C22</f>
        <v>0.33029865974524464</v>
      </c>
      <c r="N15" s="115">
        <f>'3 Step DuPont Pyramid '!D22</f>
        <v>0.3585846429342428</v>
      </c>
      <c r="O15" s="115">
        <f>'3 Step DuPont Pyramid '!E22</f>
        <v>0.34809000689661401</v>
      </c>
      <c r="P15" s="115">
        <f>'3 Step DuPont Pyramid '!F22</f>
        <v>0.38184560310585369</v>
      </c>
      <c r="Q15" s="115">
        <f>'3 Step DuPont Pyramid '!G22</f>
        <v>0.38260521565547367</v>
      </c>
      <c r="R15" s="115">
        <f>'3 Step DuPont Pyramid '!H22</f>
        <v>0.38787321390786828</v>
      </c>
      <c r="S15" s="104"/>
      <c r="U15" s="115">
        <f>'3 Step DuPont Pyramid '!K22</f>
        <v>0.12331297564303036</v>
      </c>
      <c r="V15" s="115">
        <f>'3 Step DuPont Pyramid '!L22</f>
        <v>0.10676663949046733</v>
      </c>
      <c r="W15" s="115">
        <f>'3 Step DuPont Pyramid '!M22</f>
        <v>0.10720270275044189</v>
      </c>
      <c r="X15" s="115">
        <f>'3 Step DuPont Pyramid '!N22</f>
        <v>0.11093614796020064</v>
      </c>
      <c r="Y15" s="115">
        <f>'3 Step DuPont Pyramid '!O22</f>
        <v>9.9866729931756382E-2</v>
      </c>
      <c r="Z15" s="115">
        <f>'3 Step DuPont Pyramid '!P22</f>
        <v>9.2633430024596383E-2</v>
      </c>
      <c r="AH15" s="130"/>
      <c r="AM15" s="105"/>
      <c r="AT15" s="104"/>
    </row>
    <row r="16" spans="2:46">
      <c r="S16" s="104"/>
      <c r="AE16" s="109" t="str">
        <f>'Ratio Calculations'!B85</f>
        <v>A/R Turnover</v>
      </c>
      <c r="AF16" s="110"/>
      <c r="AG16" s="110"/>
      <c r="AH16" s="110"/>
      <c r="AI16" s="110"/>
      <c r="AJ16" s="111"/>
      <c r="AM16" s="105"/>
      <c r="AN16" s="109" t="str">
        <f>'Ratio Calculations'!B94</f>
        <v>Inventory Days</v>
      </c>
      <c r="AO16" s="110"/>
      <c r="AP16" s="110"/>
      <c r="AQ16" s="110"/>
      <c r="AR16" s="110"/>
      <c r="AS16" s="111"/>
      <c r="AT16" s="104"/>
    </row>
    <row r="17" spans="13:46">
      <c r="M17" s="109" t="str">
        <f>'3 Step DuPont Pyramid '!C24</f>
        <v>Gross Margin</v>
      </c>
      <c r="N17" s="110"/>
      <c r="O17" s="110"/>
      <c r="P17" s="110"/>
      <c r="Q17" s="110"/>
      <c r="R17" s="111"/>
      <c r="S17" s="104"/>
      <c r="U17" s="109" t="str">
        <f>'3 Step DuPont Pyramid '!K16</f>
        <v>Other Non Operating Expense % of Revenue</v>
      </c>
      <c r="V17" s="110"/>
      <c r="W17" s="110"/>
      <c r="X17" s="110"/>
      <c r="Y17" s="110"/>
      <c r="Z17" s="111"/>
      <c r="AE17" s="112">
        <v>2020</v>
      </c>
      <c r="AF17" s="113">
        <v>2021</v>
      </c>
      <c r="AG17" s="113">
        <v>2022</v>
      </c>
      <c r="AH17" s="113">
        <v>2023</v>
      </c>
      <c r="AI17" s="113">
        <v>2024</v>
      </c>
      <c r="AJ17" s="114">
        <v>2025</v>
      </c>
      <c r="AM17" s="105"/>
      <c r="AN17" s="112">
        <v>2020</v>
      </c>
      <c r="AO17" s="113">
        <v>2021</v>
      </c>
      <c r="AP17" s="113">
        <v>2022</v>
      </c>
      <c r="AQ17" s="113">
        <v>2023</v>
      </c>
      <c r="AR17" s="113">
        <v>2024</v>
      </c>
      <c r="AS17" s="114">
        <v>2025</v>
      </c>
      <c r="AT17" s="104"/>
    </row>
    <row r="18" spans="13:46" ht="15.75">
      <c r="M18" s="112">
        <v>2020</v>
      </c>
      <c r="N18" s="113">
        <v>2021</v>
      </c>
      <c r="O18" s="113">
        <v>2022</v>
      </c>
      <c r="P18" s="113">
        <v>2023</v>
      </c>
      <c r="Q18" s="113">
        <v>2024</v>
      </c>
      <c r="R18" s="114">
        <v>2025</v>
      </c>
      <c r="S18" s="128"/>
      <c r="T18" s="128"/>
      <c r="U18" s="112">
        <v>2020</v>
      </c>
      <c r="V18" s="113">
        <v>2021</v>
      </c>
      <c r="W18" s="113">
        <v>2022</v>
      </c>
      <c r="X18" s="113">
        <v>2023</v>
      </c>
      <c r="Y18" s="113">
        <v>2024</v>
      </c>
      <c r="Z18" s="114">
        <v>2025</v>
      </c>
      <c r="AE18" s="118">
        <f>'Ratio Calculations'!M85</f>
        <v>18.77667426462607</v>
      </c>
      <c r="AF18" s="118">
        <f>'Ratio Calculations'!N85</f>
        <v>23.085913513513514</v>
      </c>
      <c r="AG18" s="118">
        <f>'Ratio Calculations'!O85</f>
        <v>21.923180187079954</v>
      </c>
      <c r="AH18" s="118">
        <f>'Ratio Calculations'!P85</f>
        <v>22.840867702196036</v>
      </c>
      <c r="AI18" s="118">
        <f>'Ratio Calculations'!Q85</f>
        <v>19.121211079799298</v>
      </c>
      <c r="AJ18" s="118">
        <f>'Ratio Calculations'!R85</f>
        <v>19.830681663655614</v>
      </c>
      <c r="AM18" s="105"/>
      <c r="AN18" s="126">
        <f>'Ratio Calculations'!M94</f>
        <v>114.49769200175433</v>
      </c>
      <c r="AO18" s="126">
        <f>'Ratio Calculations'!N94</f>
        <v>106.62424696679197</v>
      </c>
      <c r="AP18" s="126">
        <f>'Ratio Calculations'!O94</f>
        <v>103.07279632866548</v>
      </c>
      <c r="AQ18" s="126">
        <f>'Ratio Calculations'!P94</f>
        <v>127.95619056700495</v>
      </c>
      <c r="AR18" s="126">
        <f>'Ratio Calculations'!Q94</f>
        <v>131.09278197399536</v>
      </c>
      <c r="AS18" s="126">
        <f>'Ratio Calculations'!R94</f>
        <v>128.89803778219581</v>
      </c>
      <c r="AT18" s="104"/>
    </row>
    <row r="19" spans="13:46" ht="15.75">
      <c r="M19" s="115">
        <f>'3 Step DuPont Pyramid '!C26</f>
        <v>0.57558926986898051</v>
      </c>
      <c r="N19" s="115">
        <f>'3 Step DuPont Pyramid '!D26</f>
        <v>0.56671460354670478</v>
      </c>
      <c r="O19" s="115">
        <f>'3 Step DuPont Pyramid '!E26</f>
        <v>0.53111189353857535</v>
      </c>
      <c r="P19" s="115">
        <f>'3 Step DuPont Pyramid '!F26</f>
        <v>0.5467995255057414</v>
      </c>
      <c r="Q19" s="115">
        <f>'3 Step DuPont Pyramid '!G26</f>
        <v>0.54620403470713241</v>
      </c>
      <c r="R19" s="119">
        <f>'3 Step DuPont Pyramid '!H26</f>
        <v>0.55858670474608185</v>
      </c>
      <c r="S19" s="104"/>
      <c r="U19" s="115">
        <f>'3 Step DuPont Pyramid '!K18</f>
        <v>0.14813847083204473</v>
      </c>
      <c r="V19" s="115">
        <f>'3 Step DuPont Pyramid '!L18</f>
        <v>0.12664257178941926</v>
      </c>
      <c r="W19" s="115">
        <f>'3 Step DuPont Pyramid '!M18</f>
        <v>9.9027251634560318E-2</v>
      </c>
      <c r="X19" s="115">
        <f>'3 Step DuPont Pyramid '!N18</f>
        <v>8.7471730172092949E-2</v>
      </c>
      <c r="Y19" s="115">
        <f>'3 Step DuPont Pyramid '!O18</f>
        <v>7.9553304133139463E-2</v>
      </c>
      <c r="Z19" s="115">
        <f>'3 Step DuPont Pyramid '!P18</f>
        <v>8.0801531759777251E-2</v>
      </c>
      <c r="AH19" s="130"/>
      <c r="AM19" s="105"/>
      <c r="AT19" s="104"/>
    </row>
    <row r="20" spans="13:46">
      <c r="S20" s="104"/>
      <c r="AE20" s="109" t="str">
        <f>'Ratio Calculations'!B91</f>
        <v>Inventory Turnover</v>
      </c>
      <c r="AF20" s="110"/>
      <c r="AG20" s="110"/>
      <c r="AH20" s="110"/>
      <c r="AI20" s="110"/>
      <c r="AJ20" s="111"/>
      <c r="AM20" s="105"/>
      <c r="AN20" s="109" t="str">
        <f>'Ratio Calculations'!B100</f>
        <v>A/P Days</v>
      </c>
      <c r="AO20" s="110"/>
      <c r="AP20" s="110"/>
      <c r="AQ20" s="110"/>
      <c r="AR20" s="110"/>
      <c r="AS20" s="111"/>
      <c r="AT20" s="104"/>
    </row>
    <row r="21" spans="13:46">
      <c r="S21" s="104"/>
      <c r="U21" s="109" t="str">
        <f>'3 Step DuPont Pyramid '!K28</f>
        <v>SG&amp;A % of Revenue</v>
      </c>
      <c r="V21" s="110"/>
      <c r="W21" s="110"/>
      <c r="X21" s="110"/>
      <c r="Y21" s="110"/>
      <c r="Z21" s="111"/>
      <c r="AE21" s="112">
        <v>2020</v>
      </c>
      <c r="AF21" s="113">
        <v>2021</v>
      </c>
      <c r="AG21" s="113">
        <v>2022</v>
      </c>
      <c r="AH21" s="113">
        <v>2023</v>
      </c>
      <c r="AI21" s="113">
        <v>2024</v>
      </c>
      <c r="AJ21" s="114">
        <v>2025</v>
      </c>
      <c r="AM21" s="105"/>
      <c r="AN21" s="112">
        <v>2020</v>
      </c>
      <c r="AO21" s="113">
        <v>2021</v>
      </c>
      <c r="AP21" s="113">
        <v>2022</v>
      </c>
      <c r="AQ21" s="113">
        <v>2023</v>
      </c>
      <c r="AR21" s="113">
        <v>2024</v>
      </c>
      <c r="AS21" s="114">
        <v>2025</v>
      </c>
      <c r="AT21" s="104"/>
    </row>
    <row r="22" spans="13:46" ht="15.75">
      <c r="S22" s="104"/>
      <c r="T22" s="128"/>
      <c r="U22" s="112">
        <v>2020</v>
      </c>
      <c r="V22" s="113">
        <v>2021</v>
      </c>
      <c r="W22" s="113">
        <v>2022</v>
      </c>
      <c r="X22" s="113">
        <v>2023</v>
      </c>
      <c r="Y22" s="113">
        <v>2024</v>
      </c>
      <c r="Z22" s="114">
        <v>2025</v>
      </c>
      <c r="AE22" s="118">
        <f>'Ratio Calculations'!M91</f>
        <v>3.1878371836037314</v>
      </c>
      <c r="AF22" s="118">
        <f>'Ratio Calculations'!N91</f>
        <v>3.4232363686814966</v>
      </c>
      <c r="AG22" s="118">
        <f>'Ratio Calculations'!O91</f>
        <v>3.541186549709336</v>
      </c>
      <c r="AH22" s="118">
        <f>'Ratio Calculations'!P91</f>
        <v>2.8525388133438199</v>
      </c>
      <c r="AI22" s="118">
        <f>'Ratio Calculations'!Q91</f>
        <v>2.7842875443165465</v>
      </c>
      <c r="AJ22" s="118">
        <f>'Ratio Calculations'!R91</f>
        <v>2.8316955500653558</v>
      </c>
      <c r="AM22" s="105"/>
      <c r="AN22" s="126">
        <f>'Ratio Calculations'!M100</f>
        <v>177.43429798443447</v>
      </c>
      <c r="AO22" s="126">
        <f>'Ratio Calculations'!N100</f>
        <v>157.36620488555624</v>
      </c>
      <c r="AP22" s="126">
        <f>'Ratio Calculations'!O100</f>
        <v>137.95268853930176</v>
      </c>
      <c r="AQ22" s="126">
        <f>'Ratio Calculations'!P100</f>
        <v>125.53416469765563</v>
      </c>
      <c r="AR22" s="126">
        <f>'Ratio Calculations'!Q100</f>
        <v>113.92160490058072</v>
      </c>
      <c r="AS22" s="126">
        <f>'Ratio Calculations'!R100</f>
        <v>97.347929150536245</v>
      </c>
      <c r="AT22" s="104"/>
    </row>
    <row r="23" spans="13:46" ht="15.75">
      <c r="U23" s="115">
        <f>'3 Step DuPont Pyramid '!K30</f>
        <v>9.7152139291691114E-2</v>
      </c>
      <c r="V23" s="115">
        <f>'3 Step DuPont Pyramid '!L30</f>
        <v>8.148738882304267E-2</v>
      </c>
      <c r="W23" s="115">
        <f>'3 Step DuPont Pyramid '!M30</f>
        <v>8.3994635007401008E-2</v>
      </c>
      <c r="X23" s="115">
        <f>'3 Step DuPont Pyramid '!N30</f>
        <v>7.7482192227794761E-2</v>
      </c>
      <c r="Y23" s="115">
        <f>'3 Step DuPont Pyramid '!O30</f>
        <v>8.4045514918519235E-2</v>
      </c>
      <c r="Z23" s="115">
        <f>'3 Step DuPont Pyramid '!P30</f>
        <v>8.9911959078436354E-2</v>
      </c>
      <c r="AH23" s="130"/>
      <c r="AM23" s="105"/>
      <c r="AT23" s="104"/>
    </row>
    <row r="24" spans="13:46">
      <c r="U24" s="124"/>
      <c r="AE24" s="109" t="str">
        <f>'Ratio Calculations'!B76</f>
        <v>PPE Turnover</v>
      </c>
      <c r="AF24" s="110"/>
      <c r="AG24" s="110"/>
      <c r="AH24" s="110"/>
      <c r="AI24" s="110"/>
      <c r="AJ24" s="111"/>
      <c r="AM24" s="105"/>
      <c r="AN24" s="109" t="str">
        <f>'Ratio Calculations'!B103</f>
        <v>Cash Conversion Cycle / WC Funding Gap</v>
      </c>
      <c r="AO24" s="110"/>
      <c r="AP24" s="110"/>
      <c r="AQ24" s="110"/>
      <c r="AR24" s="110"/>
      <c r="AS24" s="111"/>
      <c r="AT24" s="104"/>
    </row>
    <row r="25" spans="13:46">
      <c r="AE25" s="112">
        <v>2020</v>
      </c>
      <c r="AF25" s="113">
        <v>2021</v>
      </c>
      <c r="AG25" s="113">
        <v>2022</v>
      </c>
      <c r="AH25" s="113">
        <v>2023</v>
      </c>
      <c r="AI25" s="113">
        <v>2024</v>
      </c>
      <c r="AJ25" s="114">
        <v>2025</v>
      </c>
      <c r="AM25" s="105"/>
      <c r="AN25" s="112">
        <v>2020</v>
      </c>
      <c r="AO25" s="113">
        <v>2021</v>
      </c>
      <c r="AP25" s="113">
        <v>2022</v>
      </c>
      <c r="AQ25" s="113">
        <v>2023</v>
      </c>
      <c r="AR25" s="113">
        <v>2024</v>
      </c>
      <c r="AS25" s="114">
        <v>2025</v>
      </c>
      <c r="AT25" s="104"/>
    </row>
    <row r="26" spans="13:46" ht="15.75">
      <c r="AE26" s="118">
        <f>'Ratio Calculations'!M76</f>
        <v>2.8205652886363453</v>
      </c>
      <c r="AF26" s="118">
        <f>'Ratio Calculations'!N76</f>
        <v>3.1562255896361493</v>
      </c>
      <c r="AG26" s="118">
        <f>'Ratio Calculations'!O76</f>
        <v>3.4951067514962357</v>
      </c>
      <c r="AH26" s="118">
        <f>'Ratio Calculations'!P76</f>
        <v>3.7900876079228034</v>
      </c>
      <c r="AI26" s="118">
        <f>'Ratio Calculations'!Q76</f>
        <v>3.6508783978862458</v>
      </c>
      <c r="AJ26" s="118">
        <f>'Ratio Calculations'!R76</f>
        <v>3.4723743871759973</v>
      </c>
      <c r="AM26" s="105"/>
      <c r="AN26" s="118">
        <f>'Ratio Calculations'!M103</f>
        <v>-43.497593788298389</v>
      </c>
      <c r="AO26" s="118">
        <f>'Ratio Calculations'!N103</f>
        <v>-34.93145079777274</v>
      </c>
      <c r="AP26" s="118">
        <f>'Ratio Calculations'!O103</f>
        <v>-18.230847825410351</v>
      </c>
      <c r="AQ26" s="118">
        <f>'Ratio Calculations'!P103</f>
        <v>18.402154328519345</v>
      </c>
      <c r="AR26" s="118">
        <f>'Ratio Calculations'!Q103</f>
        <v>36.259926132076828</v>
      </c>
      <c r="AS26" s="118">
        <f>'Ratio Calculations'!R103</f>
        <v>49.955930791013188</v>
      </c>
      <c r="AT26" s="104"/>
    </row>
    <row r="27" spans="13:46">
      <c r="AM27" s="105"/>
      <c r="AT27" s="104"/>
    </row>
    <row r="28" spans="13:46">
      <c r="AM28" s="106"/>
      <c r="AN28" s="107"/>
      <c r="AO28" s="107"/>
      <c r="AP28" s="107"/>
      <c r="AQ28" s="107"/>
      <c r="AR28" s="107"/>
      <c r="AS28" s="107"/>
      <c r="AT28" s="108"/>
    </row>
    <row r="30" spans="13:46" ht="15.75">
      <c r="R30" s="107"/>
      <c r="AM30" s="132" t="s">
        <v>191</v>
      </c>
      <c r="AN30" s="121"/>
      <c r="AO30" s="121"/>
      <c r="AP30" s="121"/>
      <c r="AQ30" s="121"/>
      <c r="AR30" s="121"/>
      <c r="AS30" s="121"/>
      <c r="AT30" s="122"/>
    </row>
    <row r="31" spans="13:46" ht="15.75">
      <c r="M31" s="133" t="s">
        <v>192</v>
      </c>
      <c r="N31" s="121"/>
      <c r="O31" s="121"/>
      <c r="P31" s="121"/>
      <c r="Q31" s="121"/>
      <c r="R31" s="136"/>
      <c r="S31" s="125"/>
      <c r="AM31" s="105"/>
      <c r="AN31" s="109" t="str">
        <f>'Ratio Calculations'!B117</f>
        <v>Debt to Equity</v>
      </c>
      <c r="AO31" s="110"/>
      <c r="AP31" s="110"/>
      <c r="AQ31" s="110"/>
      <c r="AR31" s="110"/>
      <c r="AS31" s="111"/>
      <c r="AT31" s="104"/>
    </row>
    <row r="32" spans="13:46">
      <c r="M32" s="105"/>
      <c r="N32" s="120" t="str">
        <f>'Ratio Calculations'!B147</f>
        <v>Revenue Growth</v>
      </c>
      <c r="O32" s="121"/>
      <c r="P32" s="121"/>
      <c r="Q32" s="121"/>
      <c r="R32" s="121"/>
      <c r="S32" s="135"/>
      <c r="AM32" s="105"/>
      <c r="AN32" s="112">
        <v>2020</v>
      </c>
      <c r="AO32" s="113">
        <v>2021</v>
      </c>
      <c r="AP32" s="113">
        <v>2022</v>
      </c>
      <c r="AQ32" s="113">
        <v>2023</v>
      </c>
      <c r="AR32" s="113">
        <v>2024</v>
      </c>
      <c r="AS32" s="114">
        <v>2025</v>
      </c>
      <c r="AT32" s="104"/>
    </row>
    <row r="33" spans="13:46" ht="15.75">
      <c r="M33" s="105"/>
      <c r="N33" s="112">
        <v>2021</v>
      </c>
      <c r="O33" s="113">
        <v>2022</v>
      </c>
      <c r="P33" s="113">
        <v>2023</v>
      </c>
      <c r="Q33" s="113">
        <v>2024</v>
      </c>
      <c r="R33" s="113">
        <v>2025</v>
      </c>
      <c r="S33" s="135"/>
      <c r="AM33" s="105"/>
      <c r="AN33" s="118">
        <f>'Ratio Calculations'!M117</f>
        <v>1.522881124790689</v>
      </c>
      <c r="AO33" s="118">
        <f>'Ratio Calculations'!N117</f>
        <v>1.1892882207599114</v>
      </c>
      <c r="AP33" s="118">
        <f>'Ratio Calculations'!O117</f>
        <v>1.0804199982555147</v>
      </c>
      <c r="AQ33" s="118">
        <f>'Ratio Calculations'!P117</f>
        <v>0.80673752744557947</v>
      </c>
      <c r="AR33" s="118">
        <f>'Ratio Calculations'!Q117</f>
        <v>0.94599572481442118</v>
      </c>
      <c r="AS33" s="118">
        <f>'Ratio Calculations'!R117</f>
        <v>0.7367586420765404</v>
      </c>
      <c r="AT33" s="104"/>
    </row>
    <row r="34" spans="13:46" ht="15.75">
      <c r="M34" s="105"/>
      <c r="N34" s="115">
        <f>'Ratio Calculations'!N147</f>
        <v>0.23443735024380091</v>
      </c>
      <c r="O34" s="115">
        <f>'Ratio Calculations'!O147</f>
        <v>0.19301813624969386</v>
      </c>
      <c r="P34" s="115">
        <f>'Ratio Calculations'!P147</f>
        <v>0.17170723971758817</v>
      </c>
      <c r="Q34" s="115">
        <f>'Ratio Calculations'!Q147</f>
        <v>0.11834249949666223</v>
      </c>
      <c r="R34" s="115">
        <f>'Ratio Calculations'!R147</f>
        <v>7.0259596553250814E-2</v>
      </c>
      <c r="S34" s="135"/>
      <c r="AM34" s="105"/>
      <c r="AT34" s="104"/>
    </row>
    <row r="35" spans="13:46">
      <c r="M35" s="105"/>
      <c r="S35" s="104"/>
      <c r="AM35" s="105"/>
      <c r="AN35" s="109" t="str">
        <f>'Ratio Calculations'!B120</f>
        <v>Debt to EBITDA</v>
      </c>
      <c r="AO35" s="110"/>
      <c r="AP35" s="110"/>
      <c r="AQ35" s="110"/>
      <c r="AR35" s="110"/>
      <c r="AS35" s="111"/>
      <c r="AT35" s="104"/>
    </row>
    <row r="36" spans="13:46">
      <c r="M36" s="105"/>
      <c r="N36" s="120" t="str">
        <f>'Ratio Calculations'!B150</f>
        <v>EBITDA Growth</v>
      </c>
      <c r="O36" s="121"/>
      <c r="P36" s="121"/>
      <c r="Q36" s="121"/>
      <c r="R36" s="121"/>
      <c r="S36" s="135"/>
      <c r="AM36" s="105"/>
      <c r="AN36" s="112">
        <v>2020</v>
      </c>
      <c r="AO36" s="113">
        <v>2021</v>
      </c>
      <c r="AP36" s="113">
        <v>2022</v>
      </c>
      <c r="AQ36" s="113">
        <v>2023</v>
      </c>
      <c r="AR36" s="113">
        <v>2024</v>
      </c>
      <c r="AS36" s="114">
        <v>2025</v>
      </c>
      <c r="AT36" s="104"/>
    </row>
    <row r="37" spans="13:46" ht="15.75">
      <c r="M37" s="105"/>
      <c r="N37" s="112">
        <v>2021</v>
      </c>
      <c r="O37" s="113">
        <v>2022</v>
      </c>
      <c r="P37" s="113">
        <v>2023</v>
      </c>
      <c r="Q37" s="113">
        <v>2024</v>
      </c>
      <c r="R37" s="113">
        <v>2025</v>
      </c>
      <c r="S37" s="135"/>
      <c r="AM37" s="105"/>
      <c r="AN37" s="118">
        <f>'Ratio Calculations'!M120</f>
        <v>2.3843461992152362</v>
      </c>
      <c r="AO37" s="118">
        <f>'Ratio Calculations'!N120</f>
        <v>1.7173036225813381</v>
      </c>
      <c r="AP37" s="118">
        <f>'Ratio Calculations'!O120</f>
        <v>1.585345005968064</v>
      </c>
      <c r="AQ37" s="118">
        <f>'Ratio Calculations'!P120</f>
        <v>1.086640458240959</v>
      </c>
      <c r="AR37" s="118">
        <f>'Ratio Calculations'!Q120</f>
        <v>1.3121359405729747</v>
      </c>
      <c r="AS37" s="118">
        <f>'Ratio Calculations'!R120</f>
        <v>1.0406140453419117</v>
      </c>
      <c r="AT37" s="104"/>
    </row>
    <row r="38" spans="13:46" ht="15.75">
      <c r="M38" s="105"/>
      <c r="N38" s="115">
        <f>'Ratio Calculations'!N150</f>
        <v>0.34015159735518447</v>
      </c>
      <c r="O38" s="115">
        <f>'Ratio Calculations'!O150</f>
        <v>0.15810227642987781</v>
      </c>
      <c r="P38" s="115">
        <f>'Ratio Calculations'!P150</f>
        <v>0.28533209442678115</v>
      </c>
      <c r="Q38" s="115">
        <f>'Ratio Calculations'!Q150</f>
        <v>0.12056723899996227</v>
      </c>
      <c r="R38" s="115">
        <f>'Ratio Calculations'!R150</f>
        <v>8.4995740896165559E-2</v>
      </c>
      <c r="S38" s="135"/>
      <c r="AM38" s="105"/>
      <c r="AT38" s="104"/>
    </row>
    <row r="39" spans="13:46">
      <c r="M39" s="105"/>
      <c r="S39" s="104"/>
      <c r="AM39" s="105"/>
      <c r="AN39" s="109" t="str">
        <f>'Ratio Calculations'!B132</f>
        <v>Current</v>
      </c>
      <c r="AO39" s="110"/>
      <c r="AP39" s="110"/>
      <c r="AQ39" s="110"/>
      <c r="AR39" s="110"/>
      <c r="AS39" s="111"/>
      <c r="AT39" s="104"/>
    </row>
    <row r="40" spans="13:46">
      <c r="M40" s="105"/>
      <c r="N40" s="120" t="str">
        <f>'Ratio Calculations'!B156</f>
        <v>Net Income Growth</v>
      </c>
      <c r="O40" s="121"/>
      <c r="P40" s="121"/>
      <c r="Q40" s="121"/>
      <c r="R40" s="121"/>
      <c r="S40" s="135"/>
      <c r="AM40" s="105"/>
      <c r="AN40" s="112">
        <v>2020</v>
      </c>
      <c r="AO40" s="113">
        <v>2021</v>
      </c>
      <c r="AP40" s="113">
        <v>2022</v>
      </c>
      <c r="AQ40" s="113">
        <v>2023</v>
      </c>
      <c r="AR40" s="113">
        <v>2024</v>
      </c>
      <c r="AS40" s="114">
        <v>2025</v>
      </c>
      <c r="AT40" s="104"/>
    </row>
    <row r="41" spans="13:46" ht="15.75">
      <c r="M41" s="105"/>
      <c r="N41" s="112">
        <v>2021</v>
      </c>
      <c r="O41" s="113">
        <v>2022</v>
      </c>
      <c r="P41" s="113">
        <v>2023</v>
      </c>
      <c r="Q41" s="113">
        <v>2024</v>
      </c>
      <c r="R41" s="113">
        <v>2025</v>
      </c>
      <c r="S41" s="135"/>
      <c r="AM41" s="105"/>
      <c r="AN41" s="118">
        <f>'Ratio Calculations'!M132</f>
        <v>1.332397818180558</v>
      </c>
      <c r="AO41" s="118">
        <f>'Ratio Calculations'!N132</f>
        <v>1.5358353468885322</v>
      </c>
      <c r="AP41" s="118">
        <f>'Ratio Calculations'!O132</f>
        <v>1.3568797456317359</v>
      </c>
      <c r="AQ41" s="118">
        <f>'Ratio Calculations'!P132</f>
        <v>1.4249938331408796</v>
      </c>
      <c r="AR41" s="118">
        <f>'Ratio Calculations'!Q132</f>
        <v>1.4400502937243003</v>
      </c>
      <c r="AS41" s="118">
        <f>'Ratio Calculations'!R132</f>
        <v>1.5040739982110884</v>
      </c>
      <c r="AT41" s="104"/>
    </row>
    <row r="42" spans="13:46" ht="15.75">
      <c r="M42" s="105"/>
      <c r="N42" s="115">
        <f>'Ratio Calculations'!N156</f>
        <v>0.36830902640914465</v>
      </c>
      <c r="O42" s="115">
        <f>'Ratio Calculations'!O156</f>
        <v>0.12741977300224694</v>
      </c>
      <c r="P42" s="115">
        <f>'Ratio Calculations'!P156</f>
        <v>0.33872568120311636</v>
      </c>
      <c r="Q42" s="115">
        <f>'Ratio Calculations'!Q156</f>
        <v>0.21349119691567983</v>
      </c>
      <c r="R42" s="115">
        <f>'Ratio Calculations'!R156</f>
        <v>4.8234728978650818E-2</v>
      </c>
      <c r="S42" s="135"/>
      <c r="AM42" s="105"/>
      <c r="AT42" s="104"/>
    </row>
    <row r="43" spans="13:46">
      <c r="M43" s="105"/>
      <c r="S43" s="104"/>
      <c r="AM43" s="105"/>
      <c r="AN43" s="109" t="str">
        <f>'Ratio Calculations'!B135</f>
        <v>Quick</v>
      </c>
      <c r="AO43" s="110"/>
      <c r="AP43" s="110"/>
      <c r="AQ43" s="110"/>
      <c r="AR43" s="110"/>
      <c r="AS43" s="111"/>
      <c r="AT43" s="104"/>
    </row>
    <row r="44" spans="13:46">
      <c r="M44" s="105"/>
      <c r="N44" s="120" t="str">
        <f>'Ratio Calculations'!B159</f>
        <v>Total Asset Growth</v>
      </c>
      <c r="O44" s="121"/>
      <c r="P44" s="121"/>
      <c r="Q44" s="121"/>
      <c r="R44" s="121"/>
      <c r="S44" s="135"/>
      <c r="AM44" s="105"/>
      <c r="AN44" s="112">
        <v>2020</v>
      </c>
      <c r="AO44" s="113">
        <v>2021</v>
      </c>
      <c r="AP44" s="113">
        <v>2022</v>
      </c>
      <c r="AQ44" s="113">
        <v>2023</v>
      </c>
      <c r="AR44" s="113">
        <v>2024</v>
      </c>
      <c r="AS44" s="114">
        <v>2025</v>
      </c>
      <c r="AT44" s="104"/>
    </row>
    <row r="45" spans="13:46" ht="15.75">
      <c r="M45" s="105"/>
      <c r="N45" s="112">
        <v>2021</v>
      </c>
      <c r="O45" s="113">
        <v>2022</v>
      </c>
      <c r="P45" s="113">
        <v>2023</v>
      </c>
      <c r="Q45" s="113">
        <v>2024</v>
      </c>
      <c r="R45" s="113">
        <v>2025</v>
      </c>
      <c r="S45" s="135"/>
      <c r="AM45" s="105"/>
      <c r="AN45" s="118">
        <f>'Ratio Calculations'!M135</f>
        <v>1.1328697198046205</v>
      </c>
      <c r="AO45" s="118">
        <f>'Ratio Calculations'!N135</f>
        <v>1.2890150290664226</v>
      </c>
      <c r="AP45" s="118">
        <f>'Ratio Calculations'!O135</f>
        <v>1.1252712893013317</v>
      </c>
      <c r="AQ45" s="118">
        <f>'Ratio Calculations'!P135</f>
        <v>1.0859009513050504</v>
      </c>
      <c r="AR45" s="118">
        <f>'Ratio Calculations'!Q135</f>
        <v>1.1278820925998918</v>
      </c>
      <c r="AS45" s="118">
        <f>'Ratio Calculations'!R135</f>
        <v>1.1567969441973702</v>
      </c>
      <c r="AT45" s="104"/>
    </row>
    <row r="46" spans="13:46" ht="15.75">
      <c r="M46" s="105"/>
      <c r="N46" s="115">
        <f>'Ratio Calculations'!N159</f>
        <v>9.6048145279011801E-2</v>
      </c>
      <c r="O46" s="115">
        <f>'Ratio Calculations'!O159</f>
        <v>0.13146606580748466</v>
      </c>
      <c r="P46" s="115">
        <f>'Ratio Calculations'!P159</f>
        <v>3.6762233700150006E-2</v>
      </c>
      <c r="Q46" s="115">
        <f>'Ratio Calculations'!Q159</f>
        <v>0.17957744029792908</v>
      </c>
      <c r="R46" s="115">
        <f>'Ratio Calculations'!R159</f>
        <v>1.3815308304200019E-2</v>
      </c>
      <c r="S46" s="135"/>
      <c r="AM46" s="105"/>
      <c r="AT46" s="104"/>
    </row>
    <row r="47" spans="13:46">
      <c r="M47" s="105"/>
      <c r="R47" s="131"/>
      <c r="S47" s="104"/>
      <c r="AM47" s="105"/>
      <c r="AN47" s="109" t="str">
        <f>'Ratio Calculations'!B138</f>
        <v>Interest Coverage</v>
      </c>
      <c r="AO47" s="110"/>
      <c r="AP47" s="110"/>
      <c r="AQ47" s="110"/>
      <c r="AR47" s="110"/>
      <c r="AS47" s="111"/>
      <c r="AT47" s="104"/>
    </row>
    <row r="48" spans="13:46">
      <c r="M48" s="105"/>
      <c r="N48" s="120" t="str">
        <f>'Ratio Calculations'!B162</f>
        <v>Degree of Operating Leverage</v>
      </c>
      <c r="O48" s="121"/>
      <c r="P48" s="121"/>
      <c r="Q48" s="121"/>
      <c r="R48" s="121"/>
      <c r="S48" s="135"/>
      <c r="AM48" s="105"/>
      <c r="AN48" s="112">
        <v>2020</v>
      </c>
      <c r="AO48" s="113">
        <v>2021</v>
      </c>
      <c r="AP48" s="113">
        <v>2022</v>
      </c>
      <c r="AQ48" s="113">
        <v>2023</v>
      </c>
      <c r="AR48" s="113">
        <v>2024</v>
      </c>
      <c r="AS48" s="114">
        <v>2025</v>
      </c>
      <c r="AT48" s="104"/>
    </row>
    <row r="49" spans="13:46" ht="15.75">
      <c r="M49" s="105"/>
      <c r="N49" s="112">
        <v>2021</v>
      </c>
      <c r="O49" s="113">
        <v>2022</v>
      </c>
      <c r="P49" s="113">
        <v>2023</v>
      </c>
      <c r="Q49" s="113">
        <v>2024</v>
      </c>
      <c r="R49" s="113">
        <v>2025</v>
      </c>
      <c r="S49" s="135"/>
      <c r="AM49" s="105"/>
      <c r="AN49" s="118">
        <f>'Ratio Calculations'!M138</f>
        <v>23.278008636845108</v>
      </c>
      <c r="AO49" s="118">
        <f>'Ratio Calculations'!N138</f>
        <v>20.083363932018464</v>
      </c>
      <c r="AP49" s="118">
        <f>'Ratio Calculations'!O138</f>
        <v>13.288033624526125</v>
      </c>
      <c r="AQ49" s="118">
        <f>'Ratio Calculations'!P138</f>
        <v>15.472830439681269</v>
      </c>
      <c r="AR49" s="118">
        <f>'Ratio Calculations'!Q138</f>
        <v>17.509359470852324</v>
      </c>
      <c r="AS49" s="118">
        <f>'Ratio Calculations'!R138</f>
        <v>12.937981384145715</v>
      </c>
      <c r="AT49" s="104"/>
    </row>
    <row r="50" spans="13:46" ht="15.75">
      <c r="M50" s="105"/>
      <c r="N50" s="118">
        <f>'Ratio Calculations'!N162</f>
        <v>2.1404943749114556</v>
      </c>
      <c r="O50" s="118">
        <f>'Ratio Calculations'!O162</f>
        <v>0.73170653226992988</v>
      </c>
      <c r="P50" s="118">
        <f>'Ratio Calculations'!P162</f>
        <v>1.8504688280939576</v>
      </c>
      <c r="Q50" s="118">
        <f>'Ratio Calculations'!Q162</f>
        <v>1.4126283690195622</v>
      </c>
      <c r="R50" s="118">
        <f>'Ratio Calculations'!R162</f>
        <v>1.6735249133027801</v>
      </c>
      <c r="S50" s="135"/>
      <c r="AM50" s="105"/>
      <c r="AT50" s="104"/>
    </row>
    <row r="51" spans="13:46">
      <c r="M51" s="106"/>
      <c r="N51" s="107"/>
      <c r="O51" s="107"/>
      <c r="P51" s="107"/>
      <c r="Q51" s="107"/>
      <c r="R51" s="107"/>
      <c r="S51" s="108"/>
      <c r="AM51" s="105"/>
      <c r="AT51" s="104"/>
    </row>
    <row r="52" spans="13:46">
      <c r="AM52" s="106"/>
      <c r="AN52" s="107"/>
      <c r="AO52" s="107"/>
      <c r="AP52" s="107"/>
      <c r="AQ52" s="107"/>
      <c r="AR52" s="107"/>
      <c r="AS52" s="107"/>
      <c r="AT52" s="108"/>
    </row>
  </sheetData>
  <sheetProtection algorithmName="SHA-512" hashValue="Uxgwy4yFN3yRZLYvt6G4jgB4IUiW+UhHFZ9D6HqgAQgB6K2KfV0Nhnkrh2AzSOclssLKx0O+jEkFAGwZ4w+oyA==" saltValue="2nWfoyrJ8lucM0ZELjWzWw==" spinCount="100000" sheet="1" objects="1" scenarios="1"/>
  <conditionalFormatting sqref="C10:H10">
    <cfRule type="colorScale" priority="1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J10:O10">
    <cfRule type="colorScale" priority="3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M15:R15">
    <cfRule type="colorScale" priority="7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8">
      <colorScale>
        <cfvo type="min"/>
        <cfvo type="max"/>
        <color rgb="FFFCFCFF"/>
        <color rgb="FF63BE7B"/>
      </colorScale>
    </cfRule>
  </conditionalFormatting>
  <conditionalFormatting sqref="M19:R19">
    <cfRule type="colorScale" priority="5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N34:R34">
    <cfRule type="colorScale" priority="25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26">
      <colorScale>
        <cfvo type="min"/>
        <cfvo type="max"/>
        <color rgb="FFFCFCFF"/>
        <color rgb="FF63BE7B"/>
      </colorScale>
    </cfRule>
  </conditionalFormatting>
  <conditionalFormatting sqref="N38:R38">
    <cfRule type="colorScale" priority="23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24">
      <colorScale>
        <cfvo type="min"/>
        <cfvo type="max"/>
        <color rgb="FFFCFCFF"/>
        <color rgb="FF63BE7B"/>
      </colorScale>
    </cfRule>
  </conditionalFormatting>
  <conditionalFormatting sqref="N42:R42">
    <cfRule type="colorScale" priority="21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22">
      <colorScale>
        <cfvo type="min"/>
        <cfvo type="max"/>
        <color rgb="FFFCFCFF"/>
        <color rgb="FF63BE7B"/>
      </colorScale>
    </cfRule>
  </conditionalFormatting>
  <conditionalFormatting sqref="N46:R46">
    <cfRule type="colorScale" priority="19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20">
      <colorScale>
        <cfvo type="min"/>
        <cfvo type="max"/>
        <color rgb="FFFCFCFF"/>
        <color rgb="FF63BE7B"/>
      </colorScale>
    </cfRule>
  </conditionalFormatting>
  <conditionalFormatting sqref="N50:R50">
    <cfRule type="colorScale" priority="17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18">
      <colorScale>
        <cfvo type="min"/>
        <cfvo type="max"/>
        <color rgb="FFFCFCFF"/>
        <color rgb="FF63BE7B"/>
      </colorScale>
    </cfRule>
  </conditionalFormatting>
  <conditionalFormatting sqref="Q10:V10">
    <cfRule type="colorScale" priority="15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16">
      <colorScale>
        <cfvo type="min"/>
        <cfvo type="max"/>
        <color rgb="FFFCFCFF"/>
        <color rgb="FF63BE7B"/>
      </colorScale>
    </cfRule>
  </conditionalFormatting>
  <conditionalFormatting sqref="U15:Z15">
    <cfRule type="colorScale" priority="13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14">
      <colorScale>
        <cfvo type="min"/>
        <cfvo type="max"/>
        <color rgb="FFFCFCFF"/>
        <color rgb="FF63BE7B"/>
      </colorScale>
    </cfRule>
  </conditionalFormatting>
  <conditionalFormatting sqref="U19:Z19">
    <cfRule type="colorScale" priority="11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12">
      <colorScale>
        <cfvo type="min"/>
        <cfvo type="max"/>
        <color rgb="FFFCFCFF"/>
        <color rgb="FF63BE7B"/>
      </colorScale>
    </cfRule>
  </conditionalFormatting>
  <conditionalFormatting sqref="U23:Z23">
    <cfRule type="colorScale" priority="9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10">
      <colorScale>
        <cfvo type="min"/>
        <cfvo type="max"/>
        <color rgb="FFFCFCFF"/>
        <color rgb="FF63BE7B"/>
      </colorScale>
    </cfRule>
  </conditionalFormatting>
  <conditionalFormatting sqref="X6:AC7">
    <cfRule type="colorScale" priority="70">
      <colorScale>
        <cfvo type="min"/>
        <cfvo type="max"/>
        <color rgb="FFFCFCFF"/>
        <color rgb="FF63BE7B"/>
      </colorScale>
    </cfRule>
    <cfRule type="colorScale" priority="69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X10:AC10">
    <cfRule type="colorScale" priority="67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68">
      <colorScale>
        <cfvo type="min"/>
        <cfvo type="max"/>
        <color rgb="FFFCFCFF"/>
        <color rgb="FF63BE7B"/>
      </colorScale>
    </cfRule>
  </conditionalFormatting>
  <conditionalFormatting sqref="AE10:AJ10">
    <cfRule type="colorScale" priority="66">
      <colorScale>
        <cfvo type="min"/>
        <cfvo type="max"/>
        <color rgb="FFFCFCFF"/>
        <color rgb="FF63BE7B"/>
      </colorScale>
    </cfRule>
    <cfRule type="colorScale" priority="65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AE14:AJ14">
    <cfRule type="colorScale" priority="63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64">
      <colorScale>
        <cfvo type="min"/>
        <cfvo type="max"/>
        <color rgb="FFFCFCFF"/>
        <color rgb="FF63BE7B"/>
      </colorScale>
    </cfRule>
  </conditionalFormatting>
  <conditionalFormatting sqref="AE18:AJ18">
    <cfRule type="colorScale" priority="61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62">
      <colorScale>
        <cfvo type="min"/>
        <cfvo type="max"/>
        <color rgb="FFFCFCFF"/>
        <color rgb="FF63BE7B"/>
      </colorScale>
    </cfRule>
  </conditionalFormatting>
  <conditionalFormatting sqref="AE22:AJ22">
    <cfRule type="colorScale" priority="59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60">
      <colorScale>
        <cfvo type="min"/>
        <cfvo type="max"/>
        <color rgb="FFFCFCFF"/>
        <color rgb="FF63BE7B"/>
      </colorScale>
    </cfRule>
  </conditionalFormatting>
  <conditionalFormatting sqref="AE26:AJ26">
    <cfRule type="colorScale" priority="57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58">
      <colorScale>
        <cfvo type="min"/>
        <cfvo type="max"/>
        <color rgb="FFFCFCFF"/>
        <color rgb="FF63BE7B"/>
      </colorScale>
    </cfRule>
  </conditionalFormatting>
  <conditionalFormatting sqref="AN10:AS10">
    <cfRule type="colorScale" priority="35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AN14:AS14">
    <cfRule type="colorScale" priority="33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34">
      <colorScale>
        <cfvo type="min"/>
        <cfvo type="max"/>
        <color rgb="FFFCFCFF"/>
        <color rgb="FF63BE7B"/>
      </colorScale>
    </cfRule>
  </conditionalFormatting>
  <conditionalFormatting sqref="AN18:AS18">
    <cfRule type="colorScale" priority="31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32">
      <colorScale>
        <cfvo type="min"/>
        <cfvo type="max"/>
        <color rgb="FFFCFCFF"/>
        <color rgb="FF63BE7B"/>
      </colorScale>
    </cfRule>
  </conditionalFormatting>
  <conditionalFormatting sqref="AN22:AS22">
    <cfRule type="colorScale" priority="30">
      <colorScale>
        <cfvo type="min"/>
        <cfvo type="max"/>
        <color rgb="FFFCFCFF"/>
        <color rgb="FF63BE7B"/>
      </colorScale>
    </cfRule>
    <cfRule type="colorScale" priority="29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AN26:AS26">
    <cfRule type="colorScale" priority="28">
      <colorScale>
        <cfvo type="min"/>
        <cfvo type="max"/>
        <color rgb="FFFCFCFF"/>
        <color rgb="FF63BE7B"/>
      </colorScale>
    </cfRule>
    <cfRule type="colorScale" priority="27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</conditionalFormatting>
  <conditionalFormatting sqref="AN33:AS33">
    <cfRule type="colorScale" priority="45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46">
      <colorScale>
        <cfvo type="min"/>
        <cfvo type="max"/>
        <color rgb="FFFCFCFF"/>
        <color rgb="FF63BE7B"/>
      </colorScale>
    </cfRule>
  </conditionalFormatting>
  <conditionalFormatting sqref="AN37:AS37">
    <cfRule type="colorScale" priority="43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44">
      <colorScale>
        <cfvo type="min"/>
        <cfvo type="max"/>
        <color rgb="FFFCFCFF"/>
        <color rgb="FF63BE7B"/>
      </colorScale>
    </cfRule>
  </conditionalFormatting>
  <conditionalFormatting sqref="AN41:AS41">
    <cfRule type="colorScale" priority="41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42">
      <colorScale>
        <cfvo type="min"/>
        <cfvo type="max"/>
        <color rgb="FFFCFCFF"/>
        <color rgb="FF63BE7B"/>
      </colorScale>
    </cfRule>
  </conditionalFormatting>
  <conditionalFormatting sqref="AN45:AS45">
    <cfRule type="colorScale" priority="39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40">
      <colorScale>
        <cfvo type="min"/>
        <cfvo type="max"/>
        <color rgb="FFFCFCFF"/>
        <color rgb="FF63BE7B"/>
      </colorScale>
    </cfRule>
  </conditionalFormatting>
  <conditionalFormatting sqref="AN49:AS49">
    <cfRule type="colorScale" priority="37">
      <colorScale>
        <cfvo type="min"/>
        <cfvo type="percentile" val="50"/>
        <cfvo type="max"/>
        <color theme="4" tint="0.79998168889431442"/>
        <color theme="4" tint="0.59999389629810485"/>
        <color theme="4" tint="0.39997558519241921"/>
      </colorScale>
    </cfRule>
    <cfRule type="colorScale" priority="38">
      <colorScale>
        <cfvo type="min"/>
        <cfvo type="max"/>
        <color rgb="FFFCFCFF"/>
        <color rgb="FF63BE7B"/>
      </colorScale>
    </cfRule>
  </conditionalFormatting>
  <hyperlinks>
    <hyperlink ref="AT1" r:id="rId1" xr:uid="{4FA2DC1D-97C3-4C80-8701-CADD7AA007F4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7A82-46B2-405E-BFE0-D522BB4AA66F}">
  <sheetPr>
    <tabColor theme="0" tint="-0.499984740745262"/>
  </sheetPr>
  <dimension ref="B1:J26"/>
  <sheetViews>
    <sheetView workbookViewId="0">
      <selection activeCell="J1" sqref="J1"/>
    </sheetView>
  </sheetViews>
  <sheetFormatPr defaultRowHeight="15"/>
  <cols>
    <col min="1" max="1" width="10.42578125" style="139" customWidth="1"/>
    <col min="2" max="2" width="60.7109375" style="139" customWidth="1"/>
    <col min="3" max="10" width="11.85546875" style="139" customWidth="1"/>
    <col min="11" max="11" width="3.28515625" style="139" customWidth="1"/>
    <col min="12" max="16384" width="9.140625" style="139"/>
  </cols>
  <sheetData>
    <row r="1" spans="2:10" ht="57" customHeight="1">
      <c r="B1" s="140"/>
      <c r="C1" s="140"/>
      <c r="D1" s="140"/>
      <c r="E1" s="140"/>
      <c r="F1" s="140"/>
      <c r="G1" s="140"/>
      <c r="H1" s="140"/>
      <c r="I1" s="140"/>
      <c r="J1" s="138" t="s">
        <v>193</v>
      </c>
    </row>
    <row r="3" spans="2:10" ht="20.25" thickBot="1">
      <c r="B3" s="93" t="s">
        <v>95</v>
      </c>
      <c r="C3" s="93"/>
      <c r="D3" s="93"/>
      <c r="E3" s="93"/>
      <c r="F3" s="93"/>
      <c r="G3" s="93"/>
      <c r="H3" s="93"/>
      <c r="I3" s="93"/>
      <c r="J3" s="93"/>
    </row>
    <row r="4" spans="2:10" ht="15.75" thickTop="1"/>
    <row r="5" spans="2:10" ht="15.75" thickBot="1">
      <c r="B5" s="5" t="s">
        <v>16</v>
      </c>
      <c r="C5" s="5"/>
      <c r="D5" s="168">
        <v>2020</v>
      </c>
      <c r="E5" s="169">
        <v>2021</v>
      </c>
      <c r="F5" s="169">
        <v>2022</v>
      </c>
      <c r="G5" s="169">
        <v>2023</v>
      </c>
      <c r="H5" s="169">
        <v>2024</v>
      </c>
      <c r="I5" s="169">
        <v>2025</v>
      </c>
      <c r="J5" s="169" t="s">
        <v>220</v>
      </c>
    </row>
    <row r="8" spans="2:10" ht="15.75">
      <c r="B8" s="1" t="s">
        <v>96</v>
      </c>
      <c r="C8" s="157"/>
      <c r="D8" s="161">
        <f>'Ratio Calculations'!M8</f>
        <v>0.34030775696902088</v>
      </c>
      <c r="E8" s="161">
        <f>'Ratio Calculations'!N8</f>
        <v>0.37674322696408091</v>
      </c>
      <c r="F8" s="161">
        <f>'Ratio Calculations'!O8</f>
        <v>0.36092168760112925</v>
      </c>
      <c r="G8" s="161">
        <f>'Ratio Calculations'!P8</f>
        <v>0.40951214444500167</v>
      </c>
      <c r="H8" s="161">
        <f>'Ratio Calculations'!Q8</f>
        <v>0.43065495459238134</v>
      </c>
      <c r="I8" s="161">
        <f>'Ratio Calculations'!R8</f>
        <v>0.40858759019112884</v>
      </c>
      <c r="J8" s="159">
        <f>IFERROR(AVERAGE(D8:I8),0)</f>
        <v>0.38778789346045711</v>
      </c>
    </row>
    <row r="9" spans="2:10" ht="15.75">
      <c r="B9" s="2" t="s">
        <v>220</v>
      </c>
      <c r="C9" s="158"/>
      <c r="D9" s="160">
        <f>$J$8</f>
        <v>0.38778789346045711</v>
      </c>
      <c r="E9" s="160">
        <f t="shared" ref="E9:I9" si="0">$J$8</f>
        <v>0.38778789346045711</v>
      </c>
      <c r="F9" s="160">
        <f t="shared" si="0"/>
        <v>0.38778789346045711</v>
      </c>
      <c r="G9" s="160">
        <f t="shared" si="0"/>
        <v>0.38778789346045711</v>
      </c>
      <c r="H9" s="160">
        <f t="shared" si="0"/>
        <v>0.38778789346045711</v>
      </c>
      <c r="I9" s="160">
        <f t="shared" si="0"/>
        <v>0.38778789346045711</v>
      </c>
    </row>
    <row r="10" spans="2:10" ht="16.5">
      <c r="B10" s="163"/>
      <c r="C10" s="42"/>
    </row>
    <row r="11" spans="2:10" ht="15.75">
      <c r="B11" s="1" t="s">
        <v>103</v>
      </c>
      <c r="C11" s="157"/>
      <c r="D11" s="161">
        <f>'Ratio Calculations'!M20</f>
        <v>0.57558926986898051</v>
      </c>
      <c r="E11" s="161">
        <f>'Ratio Calculations'!N20</f>
        <v>0.56671460354670478</v>
      </c>
      <c r="F11" s="161">
        <f>'Ratio Calculations'!O20</f>
        <v>0.53111189353857535</v>
      </c>
      <c r="G11" s="161">
        <f>'Ratio Calculations'!P20</f>
        <v>0.5467995255057414</v>
      </c>
      <c r="H11" s="161">
        <f>'Ratio Calculations'!Q20</f>
        <v>0.54620403470713241</v>
      </c>
      <c r="I11" s="161">
        <f>'Ratio Calculations'!R20</f>
        <v>0.55858670474608185</v>
      </c>
      <c r="J11" s="159">
        <f>IFERROR(AVERAGE(D11:I11),0)</f>
        <v>0.55416767198553607</v>
      </c>
    </row>
    <row r="12" spans="2:10" ht="15.75">
      <c r="B12" s="2" t="s">
        <v>220</v>
      </c>
      <c r="C12" s="158"/>
      <c r="D12" s="160">
        <f>J11</f>
        <v>0.55416767198553607</v>
      </c>
      <c r="E12" s="160">
        <f>$J$11</f>
        <v>0.55416767198553607</v>
      </c>
      <c r="F12" s="160">
        <f t="shared" ref="F12:I12" si="1">$J$11</f>
        <v>0.55416767198553607</v>
      </c>
      <c r="G12" s="160">
        <f t="shared" si="1"/>
        <v>0.55416767198553607</v>
      </c>
      <c r="H12" s="160">
        <f t="shared" si="1"/>
        <v>0.55416767198553607</v>
      </c>
      <c r="I12" s="160">
        <f t="shared" si="1"/>
        <v>0.55416767198553607</v>
      </c>
    </row>
    <row r="13" spans="2:10" ht="16.5">
      <c r="B13" s="163"/>
      <c r="C13" s="42"/>
    </row>
    <row r="14" spans="2:10" ht="15.75">
      <c r="B14" s="1" t="s">
        <v>108</v>
      </c>
      <c r="C14" s="157"/>
      <c r="D14" s="161">
        <f>'Ratio Calculations'!M29</f>
        <v>0.33029865974524464</v>
      </c>
      <c r="E14" s="161">
        <f>'Ratio Calculations'!N29</f>
        <v>0.3585846429342428</v>
      </c>
      <c r="F14" s="161">
        <f>'Ratio Calculations'!O29</f>
        <v>0.34809000689661401</v>
      </c>
      <c r="G14" s="161">
        <f>'Ratio Calculations'!P29</f>
        <v>0.38184560310585369</v>
      </c>
      <c r="H14" s="161">
        <f>'Ratio Calculations'!Q29</f>
        <v>0.38260521565547367</v>
      </c>
      <c r="I14" s="161">
        <f>'Ratio Calculations'!R29</f>
        <v>0.38787321390786828</v>
      </c>
      <c r="J14" s="159">
        <f>IFERROR(AVERAGE(D14:I14),0)</f>
        <v>0.36488289037421612</v>
      </c>
    </row>
    <row r="15" spans="2:10" ht="15.75">
      <c r="B15" s="2" t="s">
        <v>220</v>
      </c>
      <c r="C15" s="158"/>
      <c r="D15" s="160">
        <f>J14</f>
        <v>0.36488289037421612</v>
      </c>
      <c r="E15" s="160">
        <f>$J$14</f>
        <v>0.36488289037421612</v>
      </c>
      <c r="F15" s="160">
        <f t="shared" ref="F15:I15" si="2">$J$14</f>
        <v>0.36488289037421612</v>
      </c>
      <c r="G15" s="160">
        <f t="shared" si="2"/>
        <v>0.36488289037421612</v>
      </c>
      <c r="H15" s="160">
        <f t="shared" si="2"/>
        <v>0.36488289037421612</v>
      </c>
      <c r="I15" s="160">
        <f t="shared" si="2"/>
        <v>0.36488289037421612</v>
      </c>
    </row>
    <row r="16" spans="2:10" ht="16.5">
      <c r="B16" s="163"/>
      <c r="C16" s="42"/>
    </row>
    <row r="17" spans="2:10" ht="15.75">
      <c r="B17" s="1" t="s">
        <v>111</v>
      </c>
      <c r="C17" s="157"/>
      <c r="D17" s="161">
        <f>'Ratio Calculations'!M36</f>
        <v>0.2069856841022143</v>
      </c>
      <c r="E17" s="161">
        <f>'Ratio Calculations'!N36</f>
        <v>0.25181800344377547</v>
      </c>
      <c r="F17" s="161">
        <f>'Ratio Calculations'!O36</f>
        <v>0.2408873041461721</v>
      </c>
      <c r="G17" s="161">
        <f>'Ratio Calculations'!P36</f>
        <v>0.27090945514565307</v>
      </c>
      <c r="H17" s="161">
        <f>'Ratio Calculations'!Q36</f>
        <v>0.28273848572371729</v>
      </c>
      <c r="I17" s="161">
        <f>'Ratio Calculations'!R36</f>
        <v>0.29523978388327188</v>
      </c>
      <c r="J17" s="159">
        <f>IFERROR(AVERAGE(D17:I17),0)</f>
        <v>0.25809645274080067</v>
      </c>
    </row>
    <row r="18" spans="2:10" ht="15.75">
      <c r="B18" s="2" t="s">
        <v>220</v>
      </c>
      <c r="C18" s="158"/>
      <c r="D18" s="160">
        <f>J17</f>
        <v>0.25809645274080067</v>
      </c>
      <c r="E18" s="160">
        <f>$J$17</f>
        <v>0.25809645274080067</v>
      </c>
      <c r="F18" s="160">
        <f t="shared" ref="F18:I18" si="3">$J$17</f>
        <v>0.25809645274080067</v>
      </c>
      <c r="G18" s="160">
        <f t="shared" si="3"/>
        <v>0.25809645274080067</v>
      </c>
      <c r="H18" s="160">
        <f t="shared" si="3"/>
        <v>0.25809645274080067</v>
      </c>
      <c r="I18" s="160">
        <f t="shared" si="3"/>
        <v>0.25809645274080067</v>
      </c>
    </row>
    <row r="19" spans="2:10" ht="16.5">
      <c r="B19" s="163"/>
    </row>
    <row r="20" spans="2:10" ht="15.75">
      <c r="B20" s="1" t="s">
        <v>118</v>
      </c>
      <c r="D20" s="161">
        <f>'Ratio Calculations'!M51</f>
        <v>0.17598755993860898</v>
      </c>
      <c r="E20" s="161">
        <f>'Ratio Calculations'!N51</f>
        <v>0.19507297535363791</v>
      </c>
      <c r="F20" s="161">
        <f>'Ratio Calculations'!O51</f>
        <v>0.18434684512293203</v>
      </c>
      <c r="G20" s="161">
        <f>'Ratio Calculations'!P51</f>
        <v>0.21062416229016845</v>
      </c>
      <c r="H20" s="161">
        <f>'Ratio Calculations'!Q51</f>
        <v>0.22854408815894395</v>
      </c>
      <c r="I20" s="161">
        <f>'Ratio Calculations'!R51</f>
        <v>0.22384088036443389</v>
      </c>
      <c r="J20" s="159">
        <f>IFERROR(AVERAGE(D20:I20),0)</f>
        <v>0.20306941853812085</v>
      </c>
    </row>
    <row r="21" spans="2:10" ht="15.75">
      <c r="B21" s="2" t="s">
        <v>220</v>
      </c>
      <c r="D21" s="160">
        <f>J20</f>
        <v>0.20306941853812085</v>
      </c>
      <c r="E21" s="160">
        <f>$J$20</f>
        <v>0.20306941853812085</v>
      </c>
      <c r="F21" s="160">
        <f t="shared" ref="F21:I21" si="4">$J$20</f>
        <v>0.20306941853812085</v>
      </c>
      <c r="G21" s="160">
        <f t="shared" si="4"/>
        <v>0.20306941853812085</v>
      </c>
      <c r="H21" s="160">
        <f t="shared" si="4"/>
        <v>0.20306941853812085</v>
      </c>
      <c r="I21" s="160">
        <f t="shared" si="4"/>
        <v>0.20306941853812085</v>
      </c>
    </row>
    <row r="22" spans="2:10" ht="15.75">
      <c r="B22" s="2"/>
    </row>
    <row r="23" spans="2:10" ht="15.75">
      <c r="B23" s="164"/>
      <c r="C23" s="162"/>
      <c r="D23" s="162"/>
      <c r="E23" s="162"/>
      <c r="F23" s="162"/>
      <c r="G23" s="162"/>
      <c r="H23" s="162"/>
      <c r="I23" s="162"/>
      <c r="J23" s="162"/>
    </row>
    <row r="24" spans="2:10" ht="15.75">
      <c r="B24" s="2"/>
    </row>
    <row r="25" spans="2:10" ht="20.25" thickBot="1">
      <c r="B25" s="93" t="s">
        <v>221</v>
      </c>
      <c r="C25" s="93"/>
      <c r="D25" s="93"/>
      <c r="E25" s="93"/>
      <c r="F25" s="93"/>
      <c r="G25" s="93"/>
      <c r="H25" s="93"/>
      <c r="I25" s="93"/>
      <c r="J25" s="93"/>
    </row>
    <row r="26" spans="2:10" ht="15.75" thickTop="1"/>
  </sheetData>
  <hyperlinks>
    <hyperlink ref="J1" r:id="rId1" xr:uid="{4EBE7232-E9FA-49A6-9C5C-6F2DE6187C4A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D449-24D9-49BB-B7FB-1124AFFDEB15}">
  <sheetPr>
    <tabColor theme="0" tint="-0.499984740745262"/>
  </sheetPr>
  <dimension ref="B1:J29"/>
  <sheetViews>
    <sheetView topLeftCell="A13" workbookViewId="0">
      <selection activeCell="J1" sqref="J1"/>
    </sheetView>
  </sheetViews>
  <sheetFormatPr defaultRowHeight="15"/>
  <cols>
    <col min="1" max="1" width="10.42578125" style="139" customWidth="1"/>
    <col min="2" max="2" width="60.7109375" style="139" customWidth="1"/>
    <col min="3" max="10" width="11.85546875" style="139" customWidth="1"/>
    <col min="11" max="11" width="3.28515625" style="139" customWidth="1"/>
    <col min="12" max="16384" width="9.140625" style="139"/>
  </cols>
  <sheetData>
    <row r="1" spans="2:10" ht="57" customHeight="1">
      <c r="B1" s="140"/>
      <c r="C1" s="140"/>
      <c r="D1" s="140"/>
      <c r="E1" s="140"/>
      <c r="F1" s="140"/>
      <c r="G1" s="140"/>
      <c r="H1" s="140"/>
      <c r="I1" s="140"/>
      <c r="J1" s="138" t="s">
        <v>193</v>
      </c>
    </row>
    <row r="3" spans="2:10" ht="20.25" thickBot="1">
      <c r="B3" s="93" t="s">
        <v>123</v>
      </c>
      <c r="C3" s="93"/>
      <c r="D3" s="93"/>
      <c r="E3" s="93"/>
      <c r="F3" s="93"/>
      <c r="G3" s="93"/>
      <c r="H3" s="93"/>
      <c r="I3" s="93"/>
      <c r="J3" s="93"/>
    </row>
    <row r="4" spans="2:10" ht="15.75" thickTop="1"/>
    <row r="5" spans="2:10" ht="15.75" thickBot="1">
      <c r="B5" s="5" t="s">
        <v>16</v>
      </c>
      <c r="C5" s="5"/>
      <c r="D5" s="168">
        <v>2020</v>
      </c>
      <c r="E5" s="169">
        <v>2021</v>
      </c>
      <c r="F5" s="169">
        <v>2022</v>
      </c>
      <c r="G5" s="169">
        <v>2023</v>
      </c>
      <c r="H5" s="169">
        <v>2024</v>
      </c>
      <c r="I5" s="169">
        <v>2025</v>
      </c>
      <c r="J5" s="169" t="s">
        <v>220</v>
      </c>
    </row>
    <row r="8" spans="2:10" ht="15.75">
      <c r="B8" s="157" t="s">
        <v>124</v>
      </c>
      <c r="C8" s="157"/>
      <c r="D8" s="166">
        <f>'Ratio Calculations'!M73</f>
        <v>0.55250144241970711</v>
      </c>
      <c r="E8" s="166">
        <f>'Ratio Calculations'!N73</f>
        <v>0.62226136645926533</v>
      </c>
      <c r="F8" s="166">
        <f>'Ratio Calculations'!O73</f>
        <v>0.6561125588363268</v>
      </c>
      <c r="G8" s="166">
        <f>'Ratio Calculations'!P73</f>
        <v>0.74151219080815645</v>
      </c>
      <c r="H8" s="166">
        <f>'Ratio Calculations'!Q73</f>
        <v>0.70301835941029023</v>
      </c>
      <c r="I8" s="166">
        <f>'Ratio Calculations'!R73</f>
        <v>0.74215899044820965</v>
      </c>
      <c r="J8" s="170">
        <f>IFERROR(AVERAGE(D8:I8),0)</f>
        <v>0.66959415139699263</v>
      </c>
    </row>
    <row r="9" spans="2:10" ht="15.75">
      <c r="B9" s="158" t="s">
        <v>220</v>
      </c>
      <c r="C9" s="158"/>
      <c r="D9" s="170">
        <f>$J$8</f>
        <v>0.66959415139699263</v>
      </c>
      <c r="E9" s="170">
        <f>$J$8</f>
        <v>0.66959415139699263</v>
      </c>
      <c r="F9" s="170">
        <f t="shared" ref="F9:I9" si="0">$J$8</f>
        <v>0.66959415139699263</v>
      </c>
      <c r="G9" s="170">
        <f t="shared" si="0"/>
        <v>0.66959415139699263</v>
      </c>
      <c r="H9" s="170">
        <f t="shared" si="0"/>
        <v>0.66959415139699263</v>
      </c>
      <c r="I9" s="170">
        <f t="shared" si="0"/>
        <v>0.66959415139699263</v>
      </c>
      <c r="J9" s="170"/>
    </row>
    <row r="10" spans="2:10" ht="16.5">
      <c r="B10" s="42"/>
      <c r="C10" s="42"/>
    </row>
    <row r="11" spans="2:10" ht="15.75">
      <c r="B11" s="157" t="s">
        <v>128</v>
      </c>
      <c r="C11" s="157"/>
      <c r="D11" s="167">
        <f>'Ratio Calculations'!M82</f>
        <v>143.73074377346603</v>
      </c>
      <c r="E11" s="167">
        <f>'Ratio Calculations'!N82</f>
        <v>114.8736751602826</v>
      </c>
      <c r="F11" s="167">
        <f>'Ratio Calculations'!O82</f>
        <v>99.494326484999576</v>
      </c>
      <c r="G11" s="167">
        <f>'Ratio Calculations'!P82</f>
        <v>68.595150771857178</v>
      </c>
      <c r="H11" s="167">
        <f>'Ratio Calculations'!Q82</f>
        <v>95.243332452654528</v>
      </c>
      <c r="I11" s="167">
        <f>'Ratio Calculations'!R82</f>
        <v>74.969480537291446</v>
      </c>
      <c r="J11" s="171">
        <f>IFERROR(AVERAGE(D11:I11),0)</f>
        <v>99.484451530091903</v>
      </c>
    </row>
    <row r="12" spans="2:10" ht="15.75">
      <c r="B12" s="158" t="s">
        <v>220</v>
      </c>
      <c r="C12" s="158"/>
      <c r="D12" s="171">
        <f>J11</f>
        <v>99.484451530091903</v>
      </c>
      <c r="E12" s="171">
        <f>$J$11</f>
        <v>99.484451530091903</v>
      </c>
      <c r="F12" s="171">
        <f t="shared" ref="F12:I12" si="1">$J$11</f>
        <v>99.484451530091903</v>
      </c>
      <c r="G12" s="171">
        <f t="shared" si="1"/>
        <v>99.484451530091903</v>
      </c>
      <c r="H12" s="171">
        <f t="shared" si="1"/>
        <v>99.484451530091903</v>
      </c>
      <c r="I12" s="171">
        <f t="shared" si="1"/>
        <v>99.484451530091903</v>
      </c>
      <c r="J12" s="171"/>
    </row>
    <row r="13" spans="2:10" ht="16.5">
      <c r="B13" s="42"/>
      <c r="C13" s="42"/>
      <c r="D13" s="166"/>
      <c r="E13" s="166"/>
      <c r="F13" s="166"/>
      <c r="G13" s="166"/>
      <c r="H13" s="166"/>
      <c r="I13" s="166"/>
      <c r="J13" s="171"/>
    </row>
    <row r="14" spans="2:10" ht="15.75">
      <c r="B14" s="157" t="s">
        <v>132</v>
      </c>
      <c r="C14" s="157"/>
      <c r="D14" s="167">
        <f>'Ratio Calculations'!M88</f>
        <v>19.439012194381739</v>
      </c>
      <c r="E14" s="167">
        <f>'Ratio Calculations'!N88</f>
        <v>15.810507120991531</v>
      </c>
      <c r="F14" s="167">
        <f>'Ratio Calculations'!O88</f>
        <v>16.649044385225938</v>
      </c>
      <c r="G14" s="167">
        <f>'Ratio Calculations'!P88</f>
        <v>15.980128459170011</v>
      </c>
      <c r="H14" s="167">
        <f>'Ratio Calculations'!Q88</f>
        <v>19.088749058662195</v>
      </c>
      <c r="I14" s="167">
        <f>'Ratio Calculations'!R88</f>
        <v>18.405822159353619</v>
      </c>
      <c r="J14" s="171">
        <f>IFERROR(AVERAGE(D14:I14),0)</f>
        <v>17.562210562964172</v>
      </c>
    </row>
    <row r="15" spans="2:10" ht="15.75">
      <c r="B15" s="158" t="s">
        <v>220</v>
      </c>
      <c r="C15" s="158"/>
      <c r="D15" s="171">
        <f>J14</f>
        <v>17.562210562964172</v>
      </c>
      <c r="E15" s="171">
        <f>$J$14</f>
        <v>17.562210562964172</v>
      </c>
      <c r="F15" s="171">
        <f t="shared" ref="F15:I15" si="2">$J$14</f>
        <v>17.562210562964172</v>
      </c>
      <c r="G15" s="171">
        <f t="shared" si="2"/>
        <v>17.562210562964172</v>
      </c>
      <c r="H15" s="171">
        <f t="shared" si="2"/>
        <v>17.562210562964172</v>
      </c>
      <c r="I15" s="171">
        <f t="shared" si="2"/>
        <v>17.562210562964172</v>
      </c>
      <c r="J15" s="171"/>
    </row>
    <row r="16" spans="2:10" ht="16.5">
      <c r="B16" s="42"/>
      <c r="C16" s="42"/>
      <c r="D16" s="170"/>
      <c r="E16" s="170"/>
      <c r="F16" s="170"/>
      <c r="G16" s="170"/>
      <c r="H16" s="170"/>
      <c r="I16" s="170"/>
      <c r="J16" s="171"/>
    </row>
    <row r="17" spans="2:10" ht="15.75">
      <c r="B17" s="157" t="s">
        <v>136</v>
      </c>
      <c r="C17" s="157"/>
      <c r="D17" s="167">
        <f>'Ratio Calculations'!M94</f>
        <v>114.49769200175433</v>
      </c>
      <c r="E17" s="167">
        <f>'Ratio Calculations'!N94</f>
        <v>106.62424696679197</v>
      </c>
      <c r="F17" s="167">
        <f>'Ratio Calculations'!O94</f>
        <v>103.07279632866548</v>
      </c>
      <c r="G17" s="167">
        <f>'Ratio Calculations'!P94</f>
        <v>127.95619056700495</v>
      </c>
      <c r="H17" s="167">
        <f>'Ratio Calculations'!Q94</f>
        <v>131.09278197399536</v>
      </c>
      <c r="I17" s="167">
        <f>'Ratio Calculations'!R94</f>
        <v>128.89803778219581</v>
      </c>
      <c r="J17" s="171">
        <f>IFERROR(AVERAGE(D17:I17),0)</f>
        <v>118.69029093673466</v>
      </c>
    </row>
    <row r="18" spans="2:10" ht="15.75">
      <c r="B18" s="158" t="s">
        <v>220</v>
      </c>
      <c r="C18" s="158"/>
      <c r="D18" s="171">
        <f>$J$17</f>
        <v>118.69029093673466</v>
      </c>
      <c r="E18" s="171">
        <f>$J$17</f>
        <v>118.69029093673466</v>
      </c>
      <c r="F18" s="171">
        <f t="shared" ref="F18:I18" si="3">$J$17</f>
        <v>118.69029093673466</v>
      </c>
      <c r="G18" s="171">
        <f t="shared" si="3"/>
        <v>118.69029093673466</v>
      </c>
      <c r="H18" s="171">
        <f t="shared" si="3"/>
        <v>118.69029093673466</v>
      </c>
      <c r="I18" s="171">
        <f t="shared" si="3"/>
        <v>118.69029093673466</v>
      </c>
      <c r="J18" s="171"/>
    </row>
    <row r="19" spans="2:10" ht="16.5">
      <c r="B19" s="42"/>
      <c r="D19" s="166"/>
      <c r="E19" s="166"/>
      <c r="F19" s="166"/>
      <c r="G19" s="166"/>
      <c r="H19" s="166"/>
      <c r="I19" s="166"/>
      <c r="J19" s="171"/>
    </row>
    <row r="20" spans="2:10" ht="15.75">
      <c r="B20" s="157" t="s">
        <v>141</v>
      </c>
      <c r="D20" s="167">
        <f>'Ratio Calculations'!M100</f>
        <v>177.43429798443447</v>
      </c>
      <c r="E20" s="167">
        <f>'Ratio Calculations'!M100</f>
        <v>177.43429798443447</v>
      </c>
      <c r="F20" s="167">
        <f>'Ratio Calculations'!N100</f>
        <v>157.36620488555624</v>
      </c>
      <c r="G20" s="167">
        <f>'Ratio Calculations'!O100</f>
        <v>137.95268853930176</v>
      </c>
      <c r="H20" s="167">
        <f>'Ratio Calculations'!P100</f>
        <v>125.53416469765563</v>
      </c>
      <c r="I20" s="167">
        <f>'Ratio Calculations'!Q100</f>
        <v>113.92160490058072</v>
      </c>
      <c r="J20" s="171">
        <f>IFERROR(AVERAGE(E20:I20),0)</f>
        <v>142.44179220150579</v>
      </c>
    </row>
    <row r="21" spans="2:10" ht="15.75">
      <c r="B21" s="158" t="s">
        <v>220</v>
      </c>
      <c r="D21" s="171">
        <f>J20</f>
        <v>142.44179220150579</v>
      </c>
      <c r="E21" s="171">
        <f>$J$20</f>
        <v>142.44179220150579</v>
      </c>
      <c r="F21" s="171">
        <f t="shared" ref="F21:I21" si="4">$J$20</f>
        <v>142.44179220150579</v>
      </c>
      <c r="G21" s="171">
        <f t="shared" si="4"/>
        <v>142.44179220150579</v>
      </c>
      <c r="H21" s="171">
        <f t="shared" si="4"/>
        <v>142.44179220150579</v>
      </c>
      <c r="I21" s="171">
        <f t="shared" si="4"/>
        <v>142.44179220150579</v>
      </c>
      <c r="J21" s="171"/>
    </row>
    <row r="22" spans="2:10" ht="16.5">
      <c r="B22" s="42"/>
      <c r="D22" s="170"/>
      <c r="E22" s="170"/>
      <c r="F22" s="170"/>
      <c r="G22" s="170"/>
      <c r="H22" s="170"/>
      <c r="I22" s="170"/>
      <c r="J22" s="171"/>
    </row>
    <row r="23" spans="2:10" ht="15.75">
      <c r="B23" s="157" t="s">
        <v>222</v>
      </c>
      <c r="C23"/>
      <c r="D23" s="167">
        <f>'Ratio Calculations'!M103</f>
        <v>-43.497593788298389</v>
      </c>
      <c r="E23" s="167">
        <f>'Ratio Calculations'!N103</f>
        <v>-34.93145079777274</v>
      </c>
      <c r="F23" s="167">
        <f>'Ratio Calculations'!O103</f>
        <v>-18.230847825410351</v>
      </c>
      <c r="G23" s="167">
        <f>'Ratio Calculations'!P103</f>
        <v>18.402154328519345</v>
      </c>
      <c r="H23" s="167">
        <f>'Ratio Calculations'!Q103</f>
        <v>36.259926132076828</v>
      </c>
      <c r="I23" s="167">
        <f>'Ratio Calculations'!R103</f>
        <v>49.955930791013188</v>
      </c>
      <c r="J23" s="171">
        <f>IFERROR(AVERAGE(D23:I23),0)</f>
        <v>1.3263531400213135</v>
      </c>
    </row>
    <row r="24" spans="2:10" ht="15.75">
      <c r="B24" s="158" t="s">
        <v>220</v>
      </c>
      <c r="C24"/>
      <c r="D24" s="171">
        <f>J23</f>
        <v>1.3263531400213135</v>
      </c>
      <c r="E24" s="171">
        <f>$J$23</f>
        <v>1.3263531400213135</v>
      </c>
      <c r="F24" s="171">
        <f t="shared" ref="F24:I24" si="5">$J$23</f>
        <v>1.3263531400213135</v>
      </c>
      <c r="G24" s="171">
        <f t="shared" si="5"/>
        <v>1.3263531400213135</v>
      </c>
      <c r="H24" s="171">
        <f t="shared" si="5"/>
        <v>1.3263531400213135</v>
      </c>
      <c r="I24" s="171">
        <f t="shared" si="5"/>
        <v>1.3263531400213135</v>
      </c>
      <c r="J24" s="167"/>
    </row>
    <row r="25" spans="2:10" ht="15.75">
      <c r="B25" s="158"/>
    </row>
    <row r="26" spans="2:10" ht="15.75">
      <c r="B26" s="165"/>
      <c r="C26" s="162"/>
      <c r="D26" s="162"/>
      <c r="E26" s="162"/>
      <c r="F26" s="162"/>
      <c r="G26" s="162"/>
      <c r="H26" s="162"/>
      <c r="I26" s="162"/>
      <c r="J26" s="162"/>
    </row>
    <row r="27" spans="2:10" ht="15.75">
      <c r="B27" s="158"/>
    </row>
    <row r="28" spans="2:10" ht="20.25" thickBot="1">
      <c r="B28" s="93" t="s">
        <v>223</v>
      </c>
      <c r="C28" s="93"/>
      <c r="D28" s="93"/>
      <c r="E28" s="93"/>
      <c r="F28" s="93"/>
      <c r="G28" s="93"/>
      <c r="H28" s="93"/>
      <c r="I28" s="93"/>
      <c r="J28" s="93"/>
    </row>
    <row r="29" spans="2:10" ht="15.75" thickTop="1"/>
  </sheetData>
  <hyperlinks>
    <hyperlink ref="J1" r:id="rId1" xr:uid="{75761336-A8C1-4055-85FC-A5B801ED223A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8001-268A-4D21-9E13-D66290784F54}">
  <sheetPr>
    <tabColor theme="0" tint="-0.499984740745262"/>
  </sheetPr>
  <dimension ref="B1:J65"/>
  <sheetViews>
    <sheetView workbookViewId="0">
      <selection activeCell="J1" sqref="J1"/>
    </sheetView>
  </sheetViews>
  <sheetFormatPr defaultRowHeight="15"/>
  <cols>
    <col min="1" max="1" width="10.42578125" style="139" customWidth="1"/>
    <col min="2" max="2" width="60.7109375" style="139" customWidth="1"/>
    <col min="3" max="10" width="11.85546875" style="139" customWidth="1"/>
    <col min="11" max="11" width="3.28515625" style="139" customWidth="1"/>
    <col min="12" max="16384" width="9.140625" style="139"/>
  </cols>
  <sheetData>
    <row r="1" spans="2:10" ht="57" customHeight="1">
      <c r="B1" s="140"/>
      <c r="C1" s="140"/>
      <c r="D1" s="140"/>
      <c r="E1" s="140"/>
      <c r="F1" s="140"/>
      <c r="G1" s="140"/>
      <c r="H1" s="140"/>
      <c r="I1" s="140"/>
      <c r="J1" s="138" t="s">
        <v>193</v>
      </c>
    </row>
    <row r="3" spans="2:10" ht="20.25" thickBot="1">
      <c r="B3" s="93" t="s">
        <v>145</v>
      </c>
      <c r="C3" s="93"/>
      <c r="D3" s="93"/>
      <c r="E3" s="93"/>
      <c r="F3" s="93"/>
      <c r="G3" s="93"/>
      <c r="H3" s="93"/>
      <c r="I3" s="93"/>
      <c r="J3" s="93"/>
    </row>
    <row r="4" spans="2:10" ht="15.75" thickTop="1"/>
    <row r="5" spans="2:10" ht="15.75" thickBot="1">
      <c r="B5" s="5" t="s">
        <v>16</v>
      </c>
      <c r="C5" s="5"/>
      <c r="D5" s="168">
        <v>2020</v>
      </c>
      <c r="E5" s="169">
        <v>2021</v>
      </c>
      <c r="F5" s="169">
        <v>2022</v>
      </c>
      <c r="G5" s="169">
        <v>2023</v>
      </c>
      <c r="H5" s="169">
        <v>2024</v>
      </c>
      <c r="I5" s="169">
        <v>2025</v>
      </c>
      <c r="J5" s="169" t="s">
        <v>220</v>
      </c>
    </row>
    <row r="8" spans="2:10" ht="15.75">
      <c r="B8" s="157" t="s">
        <v>149</v>
      </c>
      <c r="C8" s="157"/>
      <c r="D8" s="166">
        <f>'Ratio Calculations'!M117</f>
        <v>1.522881124790689</v>
      </c>
      <c r="E8" s="166">
        <f>'Ratio Calculations'!N117</f>
        <v>1.1892882207599114</v>
      </c>
      <c r="F8" s="166">
        <f>'Ratio Calculations'!O117</f>
        <v>1.0804199982555147</v>
      </c>
      <c r="G8" s="166">
        <f>'Ratio Calculations'!P117</f>
        <v>0.80673752744557947</v>
      </c>
      <c r="H8" s="166">
        <f>'Ratio Calculations'!Q117</f>
        <v>0.94599572481442118</v>
      </c>
      <c r="I8" s="166">
        <f>'Ratio Calculations'!R117</f>
        <v>0.7367586420765404</v>
      </c>
      <c r="J8" s="170">
        <f>IFERROR(AVERAGE(D8:I8),0)</f>
        <v>1.0470135396904425</v>
      </c>
    </row>
    <row r="9" spans="2:10" ht="15.75">
      <c r="B9" s="158" t="s">
        <v>220</v>
      </c>
      <c r="C9" s="158"/>
      <c r="D9" s="170">
        <f>$J$8</f>
        <v>1.0470135396904425</v>
      </c>
      <c r="E9" s="170">
        <f>$J$8</f>
        <v>1.0470135396904425</v>
      </c>
      <c r="F9" s="170">
        <f t="shared" ref="F9:I9" si="0">$J$8</f>
        <v>1.0470135396904425</v>
      </c>
      <c r="G9" s="170">
        <f t="shared" si="0"/>
        <v>1.0470135396904425</v>
      </c>
      <c r="H9" s="170">
        <f t="shared" si="0"/>
        <v>1.0470135396904425</v>
      </c>
      <c r="I9" s="170">
        <f t="shared" si="0"/>
        <v>1.0470135396904425</v>
      </c>
      <c r="J9" s="170"/>
    </row>
    <row r="10" spans="2:10" ht="16.5">
      <c r="B10" s="44"/>
      <c r="C10" s="42"/>
    </row>
    <row r="11" spans="2:10" ht="15.75">
      <c r="B11" s="157" t="s">
        <v>151</v>
      </c>
      <c r="C11" s="157"/>
      <c r="D11" s="166">
        <f>'Ratio Calculations'!M120</f>
        <v>2.3843461992152362</v>
      </c>
      <c r="E11" s="166">
        <f>'Ratio Calculations'!N120</f>
        <v>1.7173036225813381</v>
      </c>
      <c r="F11" s="166">
        <f>'Ratio Calculations'!O120</f>
        <v>1.585345005968064</v>
      </c>
      <c r="G11" s="166">
        <f>'Ratio Calculations'!P120</f>
        <v>1.086640458240959</v>
      </c>
      <c r="H11" s="166">
        <f>'Ratio Calculations'!Q120</f>
        <v>1.3121359405729747</v>
      </c>
      <c r="I11" s="166">
        <f>'Ratio Calculations'!R120</f>
        <v>1.0406140453419117</v>
      </c>
      <c r="J11" s="170">
        <f>IFERROR(AVERAGE(D11:I11),0)</f>
        <v>1.5210642119867472</v>
      </c>
    </row>
    <row r="12" spans="2:10" ht="15.75">
      <c r="B12" s="158" t="s">
        <v>220</v>
      </c>
      <c r="C12" s="158"/>
      <c r="D12" s="170">
        <f>J11</f>
        <v>1.5210642119867472</v>
      </c>
      <c r="E12" s="170">
        <f>$J$11</f>
        <v>1.5210642119867472</v>
      </c>
      <c r="F12" s="170">
        <f t="shared" ref="F12:I12" si="1">$J$11</f>
        <v>1.5210642119867472</v>
      </c>
      <c r="G12" s="170">
        <f t="shared" si="1"/>
        <v>1.5210642119867472</v>
      </c>
      <c r="H12" s="170">
        <f t="shared" si="1"/>
        <v>1.5210642119867472</v>
      </c>
      <c r="I12" s="170">
        <f t="shared" si="1"/>
        <v>1.5210642119867472</v>
      </c>
      <c r="J12" s="171"/>
    </row>
    <row r="13" spans="2:10">
      <c r="B13"/>
      <c r="C13"/>
      <c r="D13"/>
      <c r="E13"/>
      <c r="F13"/>
      <c r="G13"/>
      <c r="H13"/>
      <c r="I13"/>
      <c r="J13"/>
    </row>
    <row r="14" spans="2:10">
      <c r="B14"/>
      <c r="C14"/>
      <c r="D14"/>
      <c r="E14"/>
      <c r="F14"/>
      <c r="G14"/>
      <c r="H14"/>
      <c r="I14"/>
      <c r="J14"/>
    </row>
    <row r="15" spans="2:10">
      <c r="B15"/>
      <c r="C15"/>
      <c r="D15"/>
      <c r="E15"/>
      <c r="F15"/>
      <c r="G15"/>
      <c r="H15"/>
      <c r="I15"/>
      <c r="J15"/>
    </row>
    <row r="16" spans="2:10">
      <c r="B16"/>
      <c r="C16"/>
      <c r="D16"/>
      <c r="E16"/>
      <c r="F16"/>
      <c r="G16"/>
      <c r="H16"/>
      <c r="I16"/>
      <c r="J16"/>
    </row>
    <row r="17" spans="2:10">
      <c r="B17"/>
      <c r="C17"/>
      <c r="D17"/>
      <c r="E17"/>
      <c r="F17"/>
      <c r="G17"/>
      <c r="H17"/>
      <c r="I17"/>
      <c r="J17"/>
    </row>
    <row r="18" spans="2:10">
      <c r="B18"/>
      <c r="C18"/>
      <c r="D18"/>
      <c r="E18"/>
      <c r="F18"/>
      <c r="G18"/>
      <c r="H18"/>
      <c r="I18"/>
      <c r="J18"/>
    </row>
    <row r="19" spans="2:10">
      <c r="B19"/>
      <c r="C19"/>
      <c r="D19"/>
      <c r="E19"/>
      <c r="F19"/>
      <c r="G19"/>
      <c r="H19"/>
      <c r="I19"/>
      <c r="J19"/>
    </row>
    <row r="20" spans="2:10">
      <c r="B20"/>
      <c r="C20"/>
      <c r="D20"/>
      <c r="E20"/>
      <c r="F20"/>
      <c r="G20"/>
      <c r="H20"/>
      <c r="I20"/>
      <c r="J20"/>
    </row>
    <row r="21" spans="2:10">
      <c r="B21"/>
      <c r="C21"/>
      <c r="D21"/>
      <c r="E21"/>
      <c r="F21"/>
      <c r="G21"/>
      <c r="H21"/>
      <c r="I21"/>
      <c r="J21"/>
    </row>
    <row r="22" spans="2:10">
      <c r="B22"/>
      <c r="C22"/>
      <c r="D22"/>
      <c r="E22"/>
      <c r="F22"/>
      <c r="G22"/>
      <c r="H22"/>
      <c r="I22"/>
      <c r="J22"/>
    </row>
    <row r="23" spans="2:10">
      <c r="B23"/>
      <c r="C23"/>
      <c r="D23"/>
      <c r="E23"/>
      <c r="F23"/>
      <c r="G23"/>
      <c r="H23"/>
      <c r="I23"/>
      <c r="J23"/>
    </row>
    <row r="24" spans="2:10">
      <c r="B24"/>
      <c r="C24"/>
      <c r="D24"/>
      <c r="E24"/>
      <c r="F24"/>
      <c r="G24"/>
      <c r="H24"/>
      <c r="I24"/>
      <c r="J24"/>
    </row>
    <row r="25" spans="2:10">
      <c r="B25"/>
      <c r="C25"/>
      <c r="D25"/>
      <c r="E25"/>
      <c r="F25"/>
      <c r="G25"/>
      <c r="H25"/>
      <c r="I25"/>
      <c r="J25"/>
    </row>
    <row r="26" spans="2:10">
      <c r="B26"/>
      <c r="C26"/>
      <c r="D26"/>
      <c r="E26"/>
      <c r="F26"/>
      <c r="G26"/>
      <c r="H26"/>
      <c r="I26"/>
      <c r="J26"/>
    </row>
    <row r="27" spans="2:10">
      <c r="B27"/>
      <c r="C27"/>
      <c r="D27"/>
      <c r="E27"/>
      <c r="F27"/>
      <c r="G27"/>
      <c r="H27"/>
      <c r="I27"/>
      <c r="J27"/>
    </row>
    <row r="28" spans="2:10">
      <c r="B28"/>
      <c r="C28"/>
      <c r="D28"/>
      <c r="E28"/>
      <c r="F28"/>
      <c r="G28"/>
      <c r="H28"/>
      <c r="I28"/>
      <c r="J28"/>
    </row>
    <row r="29" spans="2:10">
      <c r="B29"/>
      <c r="C29"/>
      <c r="D29"/>
      <c r="E29"/>
      <c r="F29"/>
      <c r="G29"/>
      <c r="H29"/>
      <c r="I29"/>
      <c r="J29"/>
    </row>
    <row r="30" spans="2:10">
      <c r="B30"/>
      <c r="C30"/>
      <c r="D30"/>
      <c r="E30"/>
      <c r="F30"/>
      <c r="G30"/>
      <c r="H30"/>
      <c r="I30"/>
      <c r="J30"/>
    </row>
    <row r="31" spans="2:10" ht="15.75">
      <c r="B31" s="158"/>
    </row>
    <row r="32" spans="2:10" ht="15.75">
      <c r="B32" s="165"/>
      <c r="C32" s="162"/>
      <c r="D32" s="162"/>
      <c r="E32" s="162"/>
      <c r="F32" s="162"/>
      <c r="G32" s="162"/>
      <c r="H32" s="162"/>
      <c r="I32" s="162"/>
      <c r="J32" s="162"/>
    </row>
    <row r="33" spans="2:10" ht="15.75">
      <c r="B33" s="158"/>
    </row>
    <row r="34" spans="2:10" ht="15.75">
      <c r="B34" s="158"/>
    </row>
    <row r="35" spans="2:10" ht="20.25" thickBot="1">
      <c r="B35" s="93" t="s">
        <v>154</v>
      </c>
      <c r="C35" s="93"/>
      <c r="D35" s="93"/>
      <c r="E35" s="93"/>
      <c r="F35" s="93"/>
      <c r="G35" s="93"/>
      <c r="H35" s="93"/>
      <c r="I35" s="93"/>
      <c r="J35" s="93"/>
    </row>
    <row r="36" spans="2:10" ht="15.75" thickTop="1"/>
    <row r="38" spans="2:10" ht="15.75" thickBot="1">
      <c r="B38" s="5" t="s">
        <v>16</v>
      </c>
      <c r="C38" s="5"/>
      <c r="D38" s="168">
        <v>2020</v>
      </c>
      <c r="E38" s="169">
        <v>2021</v>
      </c>
      <c r="F38" s="169">
        <v>2022</v>
      </c>
      <c r="G38" s="169">
        <v>2023</v>
      </c>
      <c r="H38" s="169">
        <v>2024</v>
      </c>
      <c r="I38" s="169">
        <v>2025</v>
      </c>
      <c r="J38" s="169" t="s">
        <v>220</v>
      </c>
    </row>
    <row r="41" spans="2:10" ht="15.75">
      <c r="B41" s="157" t="s">
        <v>155</v>
      </c>
      <c r="C41" s="157"/>
      <c r="D41" s="166">
        <f>'Ratio Calculations'!M132</f>
        <v>1.332397818180558</v>
      </c>
      <c r="E41" s="166">
        <f>'Ratio Calculations'!N132</f>
        <v>1.5358353468885322</v>
      </c>
      <c r="F41" s="166">
        <f>'Ratio Calculations'!O132</f>
        <v>1.3568797456317359</v>
      </c>
      <c r="G41" s="166">
        <f>'Ratio Calculations'!P132</f>
        <v>1.4249938331408796</v>
      </c>
      <c r="H41" s="166">
        <f>'Ratio Calculations'!Q132</f>
        <v>1.4400502937243003</v>
      </c>
      <c r="I41" s="166">
        <f>'Ratio Calculations'!R132</f>
        <v>1.5040739982110884</v>
      </c>
      <c r="J41" s="170">
        <f>IFERROR(AVERAGE(D41:I41),0)</f>
        <v>1.4323718392961824</v>
      </c>
    </row>
    <row r="42" spans="2:10" ht="15.75">
      <c r="B42" s="158" t="s">
        <v>220</v>
      </c>
      <c r="C42" s="158"/>
      <c r="D42" s="170">
        <f>$J$41</f>
        <v>1.4323718392961824</v>
      </c>
      <c r="E42" s="170">
        <f t="shared" ref="E42:I42" si="2">$J$41</f>
        <v>1.4323718392961824</v>
      </c>
      <c r="F42" s="170">
        <f t="shared" si="2"/>
        <v>1.4323718392961824</v>
      </c>
      <c r="G42" s="170">
        <f t="shared" si="2"/>
        <v>1.4323718392961824</v>
      </c>
      <c r="H42" s="170">
        <f t="shared" si="2"/>
        <v>1.4323718392961824</v>
      </c>
      <c r="I42" s="170">
        <f t="shared" si="2"/>
        <v>1.4323718392961824</v>
      </c>
      <c r="J42" s="170"/>
    </row>
    <row r="43" spans="2:10" ht="16.5">
      <c r="B43" s="42"/>
      <c r="C43" s="42"/>
    </row>
    <row r="44" spans="2:10" ht="15.75">
      <c r="B44" s="157" t="s">
        <v>156</v>
      </c>
      <c r="C44" s="157"/>
      <c r="D44" s="166">
        <f>'Ratio Calculations'!M135</f>
        <v>1.1328697198046205</v>
      </c>
      <c r="E44" s="166">
        <f>'Ratio Calculations'!N135</f>
        <v>1.2890150290664226</v>
      </c>
      <c r="F44" s="166">
        <f>'Ratio Calculations'!O135</f>
        <v>1.1252712893013317</v>
      </c>
      <c r="G44" s="166">
        <f>'Ratio Calculations'!P135</f>
        <v>1.0859009513050504</v>
      </c>
      <c r="H44" s="166">
        <f>'Ratio Calculations'!Q135</f>
        <v>1.1278820925998918</v>
      </c>
      <c r="I44" s="166">
        <f>'Ratio Calculations'!R135</f>
        <v>1.1567969441973702</v>
      </c>
      <c r="J44" s="170">
        <f>IFERROR(AVERAGE(D44:I44),0)</f>
        <v>1.1529560043791145</v>
      </c>
    </row>
    <row r="45" spans="2:10" ht="15.75">
      <c r="B45" s="158" t="s">
        <v>220</v>
      </c>
      <c r="C45" s="158"/>
      <c r="D45" s="170">
        <f>$J$44</f>
        <v>1.1529560043791145</v>
      </c>
      <c r="E45" s="170">
        <f t="shared" ref="E45:I45" si="3">$J$44</f>
        <v>1.1529560043791145</v>
      </c>
      <c r="F45" s="170">
        <f t="shared" si="3"/>
        <v>1.1529560043791145</v>
      </c>
      <c r="G45" s="170">
        <f t="shared" si="3"/>
        <v>1.1529560043791145</v>
      </c>
      <c r="H45" s="170">
        <f t="shared" si="3"/>
        <v>1.1529560043791145</v>
      </c>
      <c r="I45" s="170">
        <f t="shared" si="3"/>
        <v>1.1529560043791145</v>
      </c>
      <c r="J45" s="171"/>
    </row>
    <row r="65" spans="2:10">
      <c r="B65" s="162"/>
      <c r="C65" s="162"/>
      <c r="D65" s="162"/>
      <c r="E65" s="162"/>
      <c r="F65" s="162"/>
      <c r="G65" s="162"/>
      <c r="H65" s="162"/>
      <c r="I65" s="162"/>
      <c r="J65" s="162"/>
    </row>
  </sheetData>
  <hyperlinks>
    <hyperlink ref="J1" r:id="rId1" xr:uid="{7AD705D3-8BEF-4CD7-A73A-230A43690C58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C2C9-7A52-4A0D-BDB7-571B28A725E4}">
  <sheetPr>
    <tabColor theme="0" tint="-0.499984740745262"/>
  </sheetPr>
  <dimension ref="B1:J57"/>
  <sheetViews>
    <sheetView showGridLines="0" topLeftCell="A25" workbookViewId="0">
      <selection activeCell="J1" sqref="J1"/>
    </sheetView>
  </sheetViews>
  <sheetFormatPr defaultRowHeight="15"/>
  <cols>
    <col min="1" max="1" width="10.42578125" style="139" customWidth="1"/>
    <col min="2" max="2" width="60.7109375" style="139" customWidth="1"/>
    <col min="3" max="10" width="11.85546875" style="139" customWidth="1"/>
    <col min="11" max="11" width="3.28515625" style="139" customWidth="1"/>
    <col min="12" max="16384" width="9.140625" style="139"/>
  </cols>
  <sheetData>
    <row r="1" spans="2:10" ht="57" customHeight="1">
      <c r="B1" s="140"/>
      <c r="C1" s="140"/>
      <c r="D1" s="140"/>
      <c r="E1" s="140"/>
      <c r="F1" s="140"/>
      <c r="G1" s="140"/>
      <c r="H1" s="140"/>
      <c r="I1" s="140"/>
      <c r="J1" s="138" t="s">
        <v>193</v>
      </c>
    </row>
    <row r="3" spans="2:10" ht="20.25" thickBot="1">
      <c r="B3" s="93" t="s">
        <v>159</v>
      </c>
      <c r="C3" s="93"/>
      <c r="D3" s="93"/>
      <c r="E3" s="93"/>
      <c r="F3" s="93"/>
      <c r="G3" s="93"/>
      <c r="H3" s="93"/>
      <c r="I3" s="93"/>
      <c r="J3" s="93"/>
    </row>
    <row r="4" spans="2:10" ht="15.75" thickTop="1"/>
    <row r="5" spans="2:10" ht="15.75" thickBot="1">
      <c r="B5" s="5" t="s">
        <v>16</v>
      </c>
      <c r="C5" s="5"/>
      <c r="D5" s="11">
        <v>2020</v>
      </c>
      <c r="E5" s="10">
        <v>2021</v>
      </c>
      <c r="F5" s="10">
        <v>2022</v>
      </c>
      <c r="G5" s="10">
        <v>2023</v>
      </c>
      <c r="H5" s="10">
        <v>2024</v>
      </c>
      <c r="I5" s="10">
        <v>2025</v>
      </c>
      <c r="J5" s="10" t="s">
        <v>220</v>
      </c>
    </row>
    <row r="8" spans="2:10" ht="15.75">
      <c r="B8" s="157" t="s">
        <v>160</v>
      </c>
      <c r="C8" s="157"/>
      <c r="E8" s="161">
        <f>'Ratio Calculations'!N147</f>
        <v>0.23443735024380091</v>
      </c>
      <c r="F8" s="161">
        <f>'Ratio Calculations'!O147</f>
        <v>0.19301813624969386</v>
      </c>
      <c r="G8" s="161">
        <f>'Ratio Calculations'!P147</f>
        <v>0.17170723971758817</v>
      </c>
      <c r="H8" s="161">
        <f>'Ratio Calculations'!Q147</f>
        <v>0.11834249949666223</v>
      </c>
      <c r="I8" s="161">
        <f>'Ratio Calculations'!R147</f>
        <v>7.0259596553250814E-2</v>
      </c>
      <c r="J8" s="159">
        <f>IFERROR(AVERAGE(E8:I8),0)</f>
        <v>0.15755296445219918</v>
      </c>
    </row>
    <row r="9" spans="2:10" ht="15.75">
      <c r="B9" s="158" t="s">
        <v>220</v>
      </c>
      <c r="C9" s="158"/>
      <c r="E9" s="160">
        <f>$J$8</f>
        <v>0.15755296445219918</v>
      </c>
      <c r="F9" s="160">
        <f t="shared" ref="F9:I9" si="0">$J$8</f>
        <v>0.15755296445219918</v>
      </c>
      <c r="G9" s="160">
        <f t="shared" si="0"/>
        <v>0.15755296445219918</v>
      </c>
      <c r="H9" s="160">
        <f t="shared" si="0"/>
        <v>0.15755296445219918</v>
      </c>
      <c r="I9" s="160">
        <f t="shared" si="0"/>
        <v>0.15755296445219918</v>
      </c>
    </row>
    <row r="10" spans="2:10" ht="16.5">
      <c r="B10" s="42"/>
      <c r="C10" s="42"/>
    </row>
    <row r="11" spans="2:10" ht="15.75">
      <c r="B11" s="157" t="s">
        <v>163</v>
      </c>
      <c r="C11" s="157"/>
      <c r="E11" s="161">
        <f>'Ratio Calculations'!N150</f>
        <v>0.34015159735518447</v>
      </c>
      <c r="F11" s="161">
        <f>'Ratio Calculations'!O150</f>
        <v>0.15810227642987781</v>
      </c>
      <c r="G11" s="161">
        <f>'Ratio Calculations'!P150</f>
        <v>0.28533209442678115</v>
      </c>
      <c r="H11" s="161">
        <f>'Ratio Calculations'!Q150</f>
        <v>0.12056723899996227</v>
      </c>
      <c r="I11" s="161">
        <f>'Ratio Calculations'!R150</f>
        <v>8.4995740896165559E-2</v>
      </c>
      <c r="J11" s="159">
        <f>IFERROR(AVERAGE(E11:I11),0)</f>
        <v>0.19782978962159423</v>
      </c>
    </row>
    <row r="12" spans="2:10" ht="15.75">
      <c r="B12" s="158" t="s">
        <v>220</v>
      </c>
      <c r="C12" s="158"/>
      <c r="E12" s="160">
        <f>$J$11</f>
        <v>0.19782978962159423</v>
      </c>
      <c r="F12" s="160">
        <f t="shared" ref="F12:I12" si="1">$J$11</f>
        <v>0.19782978962159423</v>
      </c>
      <c r="G12" s="160">
        <f t="shared" si="1"/>
        <v>0.19782978962159423</v>
      </c>
      <c r="H12" s="160">
        <f t="shared" si="1"/>
        <v>0.19782978962159423</v>
      </c>
      <c r="I12" s="160">
        <f t="shared" si="1"/>
        <v>0.19782978962159423</v>
      </c>
    </row>
    <row r="13" spans="2:10" ht="16.5">
      <c r="B13" s="42"/>
      <c r="C13" s="42"/>
    </row>
    <row r="14" spans="2:10" ht="15.75">
      <c r="B14" s="157" t="s">
        <v>169</v>
      </c>
      <c r="C14" s="157"/>
      <c r="E14" s="161">
        <f>'Ratio Calculations'!N156</f>
        <v>0.36830902640914465</v>
      </c>
      <c r="F14" s="161">
        <f>'Ratio Calculations'!O156</f>
        <v>0.12741977300224694</v>
      </c>
      <c r="G14" s="161">
        <f>'Ratio Calculations'!P156</f>
        <v>0.33872568120311636</v>
      </c>
      <c r="H14" s="161">
        <f>'Ratio Calculations'!Q156</f>
        <v>0.21349119691567983</v>
      </c>
      <c r="I14" s="161">
        <f>'Ratio Calculations'!R156</f>
        <v>4.8234728978650818E-2</v>
      </c>
      <c r="J14" s="159">
        <f>IFERROR(AVERAGE(E14:I14),0)</f>
        <v>0.21923608130176775</v>
      </c>
    </row>
    <row r="15" spans="2:10" ht="15.75">
      <c r="B15" s="158" t="s">
        <v>220</v>
      </c>
      <c r="C15" s="158"/>
      <c r="E15" s="160">
        <f>$J$14</f>
        <v>0.21923608130176775</v>
      </c>
      <c r="F15" s="160">
        <f t="shared" ref="F15:I15" si="2">$J$14</f>
        <v>0.21923608130176775</v>
      </c>
      <c r="G15" s="160">
        <f t="shared" si="2"/>
        <v>0.21923608130176775</v>
      </c>
      <c r="H15" s="160">
        <f t="shared" si="2"/>
        <v>0.21923608130176775</v>
      </c>
      <c r="I15" s="160">
        <f t="shared" si="2"/>
        <v>0.21923608130176775</v>
      </c>
    </row>
    <row r="16" spans="2:10" ht="16.5">
      <c r="B16" s="42"/>
      <c r="C16" s="42"/>
    </row>
    <row r="17" spans="2:10" ht="15.75">
      <c r="B17" s="157" t="s">
        <v>172</v>
      </c>
      <c r="C17" s="157"/>
      <c r="E17" s="161">
        <f>'Ratio Calculations'!N159</f>
        <v>9.6048145279011801E-2</v>
      </c>
      <c r="F17" s="161">
        <f>'Ratio Calculations'!O159</f>
        <v>0.13146606580748466</v>
      </c>
      <c r="G17" s="161">
        <f>'Ratio Calculations'!P159</f>
        <v>3.6762233700150006E-2</v>
      </c>
      <c r="H17" s="161">
        <f>'Ratio Calculations'!Q159</f>
        <v>0.17957744029792908</v>
      </c>
      <c r="I17" s="161">
        <f>'Ratio Calculations'!R159</f>
        <v>1.3815308304200019E-2</v>
      </c>
      <c r="J17" s="159">
        <f>IFERROR(AVERAGE(E17:I17),0)</f>
        <v>9.1533838677755122E-2</v>
      </c>
    </row>
    <row r="18" spans="2:10" ht="15.75">
      <c r="B18" s="158" t="s">
        <v>220</v>
      </c>
      <c r="C18" s="158"/>
      <c r="E18" s="160">
        <f>$J$17</f>
        <v>9.1533838677755122E-2</v>
      </c>
      <c r="F18" s="160">
        <f t="shared" ref="F18:I18" si="3">$J$17</f>
        <v>9.1533838677755122E-2</v>
      </c>
      <c r="G18" s="160">
        <f t="shared" si="3"/>
        <v>9.1533838677755122E-2</v>
      </c>
      <c r="H18" s="160">
        <f t="shared" si="3"/>
        <v>9.1533838677755122E-2</v>
      </c>
      <c r="I18" s="160">
        <f t="shared" si="3"/>
        <v>9.1533838677755122E-2</v>
      </c>
    </row>
    <row r="20" spans="2:10">
      <c r="B20" s="162"/>
      <c r="C20" s="162"/>
      <c r="D20" s="162"/>
      <c r="E20" s="162"/>
      <c r="F20" s="162"/>
      <c r="G20" s="162"/>
      <c r="H20" s="162"/>
      <c r="I20" s="162"/>
      <c r="J20" s="162"/>
    </row>
    <row r="22" spans="2:10" ht="20.25" thickBot="1">
      <c r="B22" s="93" t="s">
        <v>221</v>
      </c>
      <c r="C22" s="93"/>
      <c r="D22" s="93"/>
      <c r="E22" s="93"/>
      <c r="F22" s="93"/>
      <c r="G22" s="93"/>
      <c r="H22" s="93"/>
      <c r="I22" s="93"/>
      <c r="J22" s="93"/>
    </row>
    <row r="23" spans="2:10" ht="15.75" thickTop="1"/>
    <row r="57" spans="2:10">
      <c r="B57" s="162"/>
      <c r="C57" s="162"/>
      <c r="D57" s="162"/>
      <c r="E57" s="162"/>
      <c r="F57" s="162"/>
      <c r="G57" s="162"/>
      <c r="H57" s="162"/>
      <c r="I57" s="162"/>
      <c r="J57" s="162"/>
    </row>
  </sheetData>
  <hyperlinks>
    <hyperlink ref="J1" r:id="rId1" xr:uid="{1DB302C7-B380-4B4E-8D4E-416E989C2EE2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202AA3-306D-4517-9D45-3163D4FB92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cover</vt:lpstr>
      <vt:lpstr>Financial Statements</vt:lpstr>
      <vt:lpstr>Ratio Calculations</vt:lpstr>
      <vt:lpstr>3 Step DuPont Pyramid </vt:lpstr>
      <vt:lpstr>5 Step DuPont </vt:lpstr>
      <vt:lpstr>Profitability</vt:lpstr>
      <vt:lpstr>Utilization</vt:lpstr>
      <vt:lpstr>Leverage</vt:lpstr>
      <vt:lpstr>Growth</vt:lpstr>
      <vt:lpstr>'Ratio Calculations'!Print_Area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Salama</dc:creator>
  <cp:lastModifiedBy>Mohamed Salama</cp:lastModifiedBy>
  <dcterms:created xsi:type="dcterms:W3CDTF">2026-10-24T11:24:59Z</dcterms:created>
  <dcterms:modified xsi:type="dcterms:W3CDTF">2026-10-28T15:23:19Z</dcterms:modified>
</cp:coreProperties>
</file>